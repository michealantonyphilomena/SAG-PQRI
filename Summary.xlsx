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hul\UGC\Anto\Anto\"/>
    </mc:Choice>
  </mc:AlternateContent>
  <xr:revisionPtr revIDLastSave="0" documentId="8_{873DE04D-C2C7-4127-8CBF-8CBB8AE00C5A}" xr6:coauthVersionLast="47" xr6:coauthVersionMax="47" xr10:uidLastSave="{00000000-0000-0000-0000-000000000000}"/>
  <bookViews>
    <workbookView xWindow="-120" yWindow="-120" windowWidth="21840" windowHeight="13740" xr2:uid="{CE5A2B75-0423-49BC-9A02-D20FD0CAE816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1" i="1" l="1"/>
  <c r="T201" i="1" s="1"/>
  <c r="Q201" i="1"/>
  <c r="P201" i="1"/>
  <c r="O201" i="1"/>
  <c r="N201" i="1"/>
  <c r="M201" i="1"/>
  <c r="L201" i="1"/>
  <c r="K201" i="1"/>
  <c r="J201" i="1"/>
  <c r="H201" i="1" s="1"/>
  <c r="I201" i="1"/>
  <c r="G201" i="1" s="1"/>
  <c r="F201" i="1"/>
  <c r="D201" i="1" s="1"/>
  <c r="E201" i="1"/>
  <c r="R200" i="1"/>
  <c r="T200" i="1" s="1"/>
  <c r="Q200" i="1"/>
  <c r="P200" i="1"/>
  <c r="O200" i="1"/>
  <c r="N200" i="1"/>
  <c r="M200" i="1"/>
  <c r="L200" i="1"/>
  <c r="K200" i="1"/>
  <c r="E200" i="1" s="1"/>
  <c r="J200" i="1"/>
  <c r="H200" i="1" s="1"/>
  <c r="I200" i="1"/>
  <c r="G200" i="1" s="1"/>
  <c r="F200" i="1"/>
  <c r="D200" i="1" s="1"/>
  <c r="T199" i="1"/>
  <c r="S199" i="1"/>
  <c r="R199" i="1"/>
  <c r="Q199" i="1"/>
  <c r="P199" i="1"/>
  <c r="O199" i="1"/>
  <c r="N199" i="1"/>
  <c r="M199" i="1"/>
  <c r="L199" i="1"/>
  <c r="K199" i="1"/>
  <c r="E199" i="1" s="1"/>
  <c r="J199" i="1"/>
  <c r="I199" i="1"/>
  <c r="H199" i="1"/>
  <c r="G199" i="1"/>
  <c r="F199" i="1"/>
  <c r="D199" i="1"/>
  <c r="T198" i="1"/>
  <c r="S198" i="1"/>
  <c r="R198" i="1"/>
  <c r="Q198" i="1"/>
  <c r="P198" i="1"/>
  <c r="O198" i="1"/>
  <c r="N198" i="1"/>
  <c r="M198" i="1"/>
  <c r="H198" i="1" s="1"/>
  <c r="L198" i="1"/>
  <c r="K198" i="1"/>
  <c r="J198" i="1"/>
  <c r="I198" i="1"/>
  <c r="F198" i="1"/>
  <c r="E198" i="1"/>
  <c r="D198" i="1"/>
  <c r="R197" i="1"/>
  <c r="Q197" i="1"/>
  <c r="E197" i="1" s="1"/>
  <c r="P197" i="1"/>
  <c r="O197" i="1"/>
  <c r="N197" i="1"/>
  <c r="M197" i="1"/>
  <c r="L197" i="1"/>
  <c r="K197" i="1"/>
  <c r="J197" i="1"/>
  <c r="H197" i="1" s="1"/>
  <c r="I197" i="1"/>
  <c r="G197" i="1" s="1"/>
  <c r="F197" i="1"/>
  <c r="D197" i="1" s="1"/>
  <c r="S196" i="1"/>
  <c r="R196" i="1"/>
  <c r="T196" i="1" s="1"/>
  <c r="Q196" i="1"/>
  <c r="P196" i="1"/>
  <c r="O196" i="1"/>
  <c r="N196" i="1"/>
  <c r="M196" i="1"/>
  <c r="L196" i="1"/>
  <c r="K196" i="1"/>
  <c r="E196" i="1" s="1"/>
  <c r="J196" i="1"/>
  <c r="H196" i="1" s="1"/>
  <c r="I196" i="1"/>
  <c r="G196" i="1"/>
  <c r="F196" i="1"/>
  <c r="D196" i="1" s="1"/>
  <c r="T195" i="1"/>
  <c r="S195" i="1"/>
  <c r="R195" i="1"/>
  <c r="Q195" i="1"/>
  <c r="P195" i="1"/>
  <c r="H195" i="1" s="1"/>
  <c r="O195" i="1"/>
  <c r="N195" i="1"/>
  <c r="M195" i="1"/>
  <c r="L195" i="1"/>
  <c r="K195" i="1"/>
  <c r="E195" i="1" s="1"/>
  <c r="J195" i="1"/>
  <c r="I195" i="1"/>
  <c r="G195" i="1" s="1"/>
  <c r="F195" i="1"/>
  <c r="D195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G194" i="1" s="1"/>
  <c r="H194" i="1"/>
  <c r="F194" i="1"/>
  <c r="E194" i="1"/>
  <c r="D194" i="1"/>
  <c r="R193" i="1"/>
  <c r="T193" i="1" s="1"/>
  <c r="Q193" i="1"/>
  <c r="P193" i="1"/>
  <c r="O193" i="1"/>
  <c r="N193" i="1"/>
  <c r="E193" i="1" s="1"/>
  <c r="M193" i="1"/>
  <c r="L193" i="1"/>
  <c r="K193" i="1"/>
  <c r="J193" i="1"/>
  <c r="I193" i="1"/>
  <c r="G193" i="1" s="1"/>
  <c r="F193" i="1"/>
  <c r="D193" i="1" s="1"/>
  <c r="S192" i="1"/>
  <c r="R192" i="1"/>
  <c r="T192" i="1" s="1"/>
  <c r="Q192" i="1"/>
  <c r="P192" i="1"/>
  <c r="O192" i="1"/>
  <c r="N192" i="1"/>
  <c r="M192" i="1"/>
  <c r="L192" i="1"/>
  <c r="K192" i="1"/>
  <c r="E192" i="1" s="1"/>
  <c r="J192" i="1"/>
  <c r="H192" i="1" s="1"/>
  <c r="I192" i="1"/>
  <c r="G192" i="1"/>
  <c r="F192" i="1"/>
  <c r="D192" i="1" s="1"/>
  <c r="T191" i="1"/>
  <c r="S191" i="1"/>
  <c r="R191" i="1"/>
  <c r="Q191" i="1"/>
  <c r="P191" i="1"/>
  <c r="O191" i="1"/>
  <c r="N191" i="1"/>
  <c r="M191" i="1"/>
  <c r="L191" i="1"/>
  <c r="G191" i="1" s="1"/>
  <c r="K191" i="1"/>
  <c r="E191" i="1" s="1"/>
  <c r="J191" i="1"/>
  <c r="I191" i="1"/>
  <c r="H191" i="1"/>
  <c r="F191" i="1"/>
  <c r="D191" i="1"/>
  <c r="R190" i="1"/>
  <c r="T190" i="1" s="1"/>
  <c r="Q190" i="1"/>
  <c r="P190" i="1"/>
  <c r="O190" i="1"/>
  <c r="N190" i="1"/>
  <c r="M190" i="1"/>
  <c r="L190" i="1"/>
  <c r="K190" i="1"/>
  <c r="J190" i="1"/>
  <c r="I190" i="1"/>
  <c r="G190" i="1" s="1"/>
  <c r="F190" i="1"/>
  <c r="E190" i="1"/>
  <c r="D190" i="1"/>
  <c r="R189" i="1"/>
  <c r="T189" i="1" s="1"/>
  <c r="Q189" i="1"/>
  <c r="P189" i="1"/>
  <c r="O189" i="1"/>
  <c r="N189" i="1"/>
  <c r="E189" i="1" s="1"/>
  <c r="M189" i="1"/>
  <c r="L189" i="1"/>
  <c r="K189" i="1"/>
  <c r="J189" i="1"/>
  <c r="H189" i="1" s="1"/>
  <c r="I189" i="1"/>
  <c r="G189" i="1" s="1"/>
  <c r="F189" i="1"/>
  <c r="D189" i="1" s="1"/>
  <c r="S188" i="1"/>
  <c r="R188" i="1"/>
  <c r="T188" i="1" s="1"/>
  <c r="Q188" i="1"/>
  <c r="P188" i="1"/>
  <c r="O188" i="1"/>
  <c r="G188" i="1" s="1"/>
  <c r="N188" i="1"/>
  <c r="M188" i="1"/>
  <c r="L188" i="1"/>
  <c r="K188" i="1"/>
  <c r="J188" i="1"/>
  <c r="H188" i="1" s="1"/>
  <c r="I188" i="1"/>
  <c r="F188" i="1"/>
  <c r="D188" i="1" s="1"/>
  <c r="T187" i="1"/>
  <c r="S187" i="1"/>
  <c r="R187" i="1"/>
  <c r="Q187" i="1"/>
  <c r="P187" i="1"/>
  <c r="O187" i="1"/>
  <c r="N187" i="1"/>
  <c r="M187" i="1"/>
  <c r="L187" i="1"/>
  <c r="K187" i="1"/>
  <c r="E187" i="1" s="1"/>
  <c r="J187" i="1"/>
  <c r="I187" i="1"/>
  <c r="H187" i="1"/>
  <c r="G187" i="1"/>
  <c r="F187" i="1"/>
  <c r="D187" i="1"/>
  <c r="T186" i="1"/>
  <c r="S186" i="1"/>
  <c r="R186" i="1"/>
  <c r="Q186" i="1"/>
  <c r="P186" i="1"/>
  <c r="O186" i="1"/>
  <c r="N186" i="1"/>
  <c r="M186" i="1"/>
  <c r="H186" i="1" s="1"/>
  <c r="L186" i="1"/>
  <c r="K186" i="1"/>
  <c r="J186" i="1"/>
  <c r="I186" i="1"/>
  <c r="F186" i="1"/>
  <c r="E186" i="1"/>
  <c r="D186" i="1"/>
  <c r="R185" i="1"/>
  <c r="Q185" i="1"/>
  <c r="E185" i="1" s="1"/>
  <c r="P185" i="1"/>
  <c r="O185" i="1"/>
  <c r="N185" i="1"/>
  <c r="M185" i="1"/>
  <c r="L185" i="1"/>
  <c r="K185" i="1"/>
  <c r="J185" i="1"/>
  <c r="H185" i="1" s="1"/>
  <c r="I185" i="1"/>
  <c r="G185" i="1" s="1"/>
  <c r="F185" i="1"/>
  <c r="D185" i="1" s="1"/>
  <c r="S184" i="1"/>
  <c r="R184" i="1"/>
  <c r="T184" i="1" s="1"/>
  <c r="Q184" i="1"/>
  <c r="P184" i="1"/>
  <c r="O184" i="1"/>
  <c r="N184" i="1"/>
  <c r="M184" i="1"/>
  <c r="L184" i="1"/>
  <c r="K184" i="1"/>
  <c r="E184" i="1" s="1"/>
  <c r="J184" i="1"/>
  <c r="H184" i="1" s="1"/>
  <c r="I184" i="1"/>
  <c r="G184" i="1"/>
  <c r="F184" i="1"/>
  <c r="D184" i="1" s="1"/>
  <c r="T183" i="1"/>
  <c r="S183" i="1"/>
  <c r="R183" i="1"/>
  <c r="Q183" i="1"/>
  <c r="P183" i="1"/>
  <c r="H183" i="1" s="1"/>
  <c r="O183" i="1"/>
  <c r="N183" i="1"/>
  <c r="M183" i="1"/>
  <c r="L183" i="1"/>
  <c r="G183" i="1" s="1"/>
  <c r="K183" i="1"/>
  <c r="E183" i="1" s="1"/>
  <c r="J183" i="1"/>
  <c r="I183" i="1"/>
  <c r="F183" i="1"/>
  <c r="D183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G182" i="1" s="1"/>
  <c r="H182" i="1"/>
  <c r="F182" i="1"/>
  <c r="E182" i="1"/>
  <c r="D182" i="1"/>
  <c r="R181" i="1"/>
  <c r="T181" i="1" s="1"/>
  <c r="Q181" i="1"/>
  <c r="P181" i="1"/>
  <c r="O181" i="1"/>
  <c r="N181" i="1"/>
  <c r="E181" i="1" s="1"/>
  <c r="M181" i="1"/>
  <c r="L181" i="1"/>
  <c r="K181" i="1"/>
  <c r="J181" i="1"/>
  <c r="I181" i="1"/>
  <c r="G181" i="1" s="1"/>
  <c r="F181" i="1"/>
  <c r="D181" i="1" s="1"/>
  <c r="R180" i="1"/>
  <c r="T180" i="1" s="1"/>
  <c r="Q180" i="1"/>
  <c r="P180" i="1"/>
  <c r="O180" i="1"/>
  <c r="N180" i="1"/>
  <c r="M180" i="1"/>
  <c r="L180" i="1"/>
  <c r="K180" i="1"/>
  <c r="E180" i="1" s="1"/>
  <c r="J180" i="1"/>
  <c r="H180" i="1" s="1"/>
  <c r="I180" i="1"/>
  <c r="G180" i="1"/>
  <c r="F180" i="1"/>
  <c r="D180" i="1" s="1"/>
  <c r="T179" i="1"/>
  <c r="S179" i="1"/>
  <c r="R179" i="1"/>
  <c r="Q179" i="1"/>
  <c r="P179" i="1"/>
  <c r="O179" i="1"/>
  <c r="N179" i="1"/>
  <c r="M179" i="1"/>
  <c r="L179" i="1"/>
  <c r="G179" i="1" s="1"/>
  <c r="K179" i="1"/>
  <c r="E179" i="1" s="1"/>
  <c r="J179" i="1"/>
  <c r="I179" i="1"/>
  <c r="H179" i="1"/>
  <c r="F179" i="1"/>
  <c r="D179" i="1"/>
  <c r="R178" i="1"/>
  <c r="T178" i="1" s="1"/>
  <c r="Q178" i="1"/>
  <c r="E178" i="1" s="1"/>
  <c r="P178" i="1"/>
  <c r="O178" i="1"/>
  <c r="N178" i="1"/>
  <c r="M178" i="1"/>
  <c r="L178" i="1"/>
  <c r="K178" i="1"/>
  <c r="J178" i="1"/>
  <c r="I178" i="1"/>
  <c r="G178" i="1" s="1"/>
  <c r="F178" i="1"/>
  <c r="D178" i="1"/>
  <c r="R177" i="1"/>
  <c r="T177" i="1" s="1"/>
  <c r="Q177" i="1"/>
  <c r="P177" i="1"/>
  <c r="O177" i="1"/>
  <c r="N177" i="1"/>
  <c r="E177" i="1" s="1"/>
  <c r="M177" i="1"/>
  <c r="L177" i="1"/>
  <c r="K177" i="1"/>
  <c r="J177" i="1"/>
  <c r="H177" i="1" s="1"/>
  <c r="I177" i="1"/>
  <c r="G177" i="1" s="1"/>
  <c r="F177" i="1"/>
  <c r="D177" i="1" s="1"/>
  <c r="S176" i="1"/>
  <c r="R176" i="1"/>
  <c r="T176" i="1" s="1"/>
  <c r="Q176" i="1"/>
  <c r="P176" i="1"/>
  <c r="O176" i="1"/>
  <c r="G176" i="1" s="1"/>
  <c r="N176" i="1"/>
  <c r="M176" i="1"/>
  <c r="L176" i="1"/>
  <c r="K176" i="1"/>
  <c r="J176" i="1"/>
  <c r="H176" i="1" s="1"/>
  <c r="I176" i="1"/>
  <c r="F176" i="1"/>
  <c r="D176" i="1" s="1"/>
  <c r="T175" i="1"/>
  <c r="S175" i="1"/>
  <c r="R175" i="1"/>
  <c r="Q175" i="1"/>
  <c r="P175" i="1"/>
  <c r="O175" i="1"/>
  <c r="N175" i="1"/>
  <c r="M175" i="1"/>
  <c r="L175" i="1"/>
  <c r="K175" i="1"/>
  <c r="E175" i="1" s="1"/>
  <c r="J175" i="1"/>
  <c r="I175" i="1"/>
  <c r="H175" i="1"/>
  <c r="G175" i="1"/>
  <c r="F175" i="1"/>
  <c r="D175" i="1"/>
  <c r="T174" i="1"/>
  <c r="S174" i="1"/>
  <c r="R174" i="1"/>
  <c r="Q174" i="1"/>
  <c r="P174" i="1"/>
  <c r="O174" i="1"/>
  <c r="N174" i="1"/>
  <c r="M174" i="1"/>
  <c r="H174" i="1" s="1"/>
  <c r="L174" i="1"/>
  <c r="K174" i="1"/>
  <c r="J174" i="1"/>
  <c r="I174" i="1"/>
  <c r="F174" i="1"/>
  <c r="E174" i="1"/>
  <c r="D174" i="1"/>
  <c r="R173" i="1"/>
  <c r="Q173" i="1"/>
  <c r="E173" i="1" s="1"/>
  <c r="P173" i="1"/>
  <c r="O173" i="1"/>
  <c r="N173" i="1"/>
  <c r="M173" i="1"/>
  <c r="L173" i="1"/>
  <c r="K173" i="1"/>
  <c r="J173" i="1"/>
  <c r="H173" i="1" s="1"/>
  <c r="I173" i="1"/>
  <c r="G173" i="1" s="1"/>
  <c r="F173" i="1"/>
  <c r="D173" i="1" s="1"/>
  <c r="S172" i="1"/>
  <c r="R172" i="1"/>
  <c r="T172" i="1" s="1"/>
  <c r="Q172" i="1"/>
  <c r="P172" i="1"/>
  <c r="O172" i="1"/>
  <c r="N172" i="1"/>
  <c r="M172" i="1"/>
  <c r="L172" i="1"/>
  <c r="K172" i="1"/>
  <c r="E172" i="1" s="1"/>
  <c r="J172" i="1"/>
  <c r="H172" i="1" s="1"/>
  <c r="I172" i="1"/>
  <c r="G172" i="1"/>
  <c r="F172" i="1"/>
  <c r="D172" i="1" s="1"/>
  <c r="T171" i="1"/>
  <c r="S171" i="1"/>
  <c r="R171" i="1"/>
  <c r="Q171" i="1"/>
  <c r="P171" i="1"/>
  <c r="H171" i="1" s="1"/>
  <c r="O171" i="1"/>
  <c r="N171" i="1"/>
  <c r="M171" i="1"/>
  <c r="L171" i="1"/>
  <c r="K171" i="1"/>
  <c r="E171" i="1" s="1"/>
  <c r="J171" i="1"/>
  <c r="I171" i="1"/>
  <c r="F171" i="1"/>
  <c r="D171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G170" i="1" s="1"/>
  <c r="H170" i="1"/>
  <c r="F170" i="1"/>
  <c r="E170" i="1"/>
  <c r="D170" i="1"/>
  <c r="R169" i="1"/>
  <c r="T169" i="1" s="1"/>
  <c r="Q169" i="1"/>
  <c r="P169" i="1"/>
  <c r="O169" i="1"/>
  <c r="N169" i="1"/>
  <c r="M169" i="1"/>
  <c r="L169" i="1"/>
  <c r="K169" i="1"/>
  <c r="E169" i="1" s="1"/>
  <c r="J169" i="1"/>
  <c r="I169" i="1"/>
  <c r="G169" i="1" s="1"/>
  <c r="F169" i="1"/>
  <c r="D169" i="1" s="1"/>
  <c r="R168" i="1"/>
  <c r="T168" i="1" s="1"/>
  <c r="Q168" i="1"/>
  <c r="P168" i="1"/>
  <c r="O168" i="1"/>
  <c r="N168" i="1"/>
  <c r="M168" i="1"/>
  <c r="L168" i="1"/>
  <c r="K168" i="1"/>
  <c r="E168" i="1" s="1"/>
  <c r="J168" i="1"/>
  <c r="H168" i="1" s="1"/>
  <c r="I168" i="1"/>
  <c r="G168" i="1"/>
  <c r="F168" i="1"/>
  <c r="D168" i="1" s="1"/>
  <c r="T167" i="1"/>
  <c r="S167" i="1"/>
  <c r="R167" i="1"/>
  <c r="Q167" i="1"/>
  <c r="P167" i="1"/>
  <c r="O167" i="1"/>
  <c r="N167" i="1"/>
  <c r="M167" i="1"/>
  <c r="L167" i="1"/>
  <c r="G167" i="1" s="1"/>
  <c r="K167" i="1"/>
  <c r="E167" i="1" s="1"/>
  <c r="J167" i="1"/>
  <c r="I167" i="1"/>
  <c r="H167" i="1"/>
  <c r="F167" i="1"/>
  <c r="D167" i="1"/>
  <c r="T166" i="1"/>
  <c r="S166" i="1"/>
  <c r="R166" i="1"/>
  <c r="Q166" i="1"/>
  <c r="E166" i="1" s="1"/>
  <c r="P166" i="1"/>
  <c r="O166" i="1"/>
  <c r="N166" i="1"/>
  <c r="M166" i="1"/>
  <c r="L166" i="1"/>
  <c r="K166" i="1"/>
  <c r="J166" i="1"/>
  <c r="I166" i="1"/>
  <c r="G166" i="1" s="1"/>
  <c r="F166" i="1"/>
  <c r="D166" i="1"/>
  <c r="R165" i="1"/>
  <c r="T165" i="1" s="1"/>
  <c r="Q165" i="1"/>
  <c r="P165" i="1"/>
  <c r="O165" i="1"/>
  <c r="N165" i="1"/>
  <c r="E165" i="1" s="1"/>
  <c r="M165" i="1"/>
  <c r="L165" i="1"/>
  <c r="K165" i="1"/>
  <c r="J165" i="1"/>
  <c r="H165" i="1" s="1"/>
  <c r="I165" i="1"/>
  <c r="G165" i="1" s="1"/>
  <c r="F165" i="1"/>
  <c r="D165" i="1" s="1"/>
  <c r="S164" i="1"/>
  <c r="R164" i="1"/>
  <c r="T164" i="1" s="1"/>
  <c r="Q164" i="1"/>
  <c r="P164" i="1"/>
  <c r="O164" i="1"/>
  <c r="G164" i="1" s="1"/>
  <c r="N164" i="1"/>
  <c r="M164" i="1"/>
  <c r="L164" i="1"/>
  <c r="K164" i="1"/>
  <c r="J164" i="1"/>
  <c r="H164" i="1" s="1"/>
  <c r="I164" i="1"/>
  <c r="F164" i="1"/>
  <c r="D164" i="1" s="1"/>
  <c r="T163" i="1"/>
  <c r="S163" i="1"/>
  <c r="R163" i="1"/>
  <c r="Q163" i="1"/>
  <c r="P163" i="1"/>
  <c r="O163" i="1"/>
  <c r="N163" i="1"/>
  <c r="M163" i="1"/>
  <c r="L163" i="1"/>
  <c r="K163" i="1"/>
  <c r="E163" i="1" s="1"/>
  <c r="J163" i="1"/>
  <c r="I163" i="1"/>
  <c r="H163" i="1"/>
  <c r="G163" i="1"/>
  <c r="F163" i="1"/>
  <c r="D163" i="1"/>
  <c r="T162" i="1"/>
  <c r="S162" i="1"/>
  <c r="R162" i="1"/>
  <c r="Q162" i="1"/>
  <c r="P162" i="1"/>
  <c r="O162" i="1"/>
  <c r="N162" i="1"/>
  <c r="M162" i="1"/>
  <c r="H162" i="1" s="1"/>
  <c r="L162" i="1"/>
  <c r="K162" i="1"/>
  <c r="J162" i="1"/>
  <c r="I162" i="1"/>
  <c r="F162" i="1"/>
  <c r="E162" i="1"/>
  <c r="D162" i="1"/>
  <c r="R161" i="1"/>
  <c r="Q161" i="1"/>
  <c r="P161" i="1"/>
  <c r="O161" i="1"/>
  <c r="N161" i="1"/>
  <c r="M161" i="1"/>
  <c r="L161" i="1"/>
  <c r="K161" i="1"/>
  <c r="J161" i="1"/>
  <c r="H161" i="1" s="1"/>
  <c r="I161" i="1"/>
  <c r="G161" i="1" s="1"/>
  <c r="F161" i="1"/>
  <c r="D161" i="1" s="1"/>
  <c r="E161" i="1"/>
  <c r="S160" i="1"/>
  <c r="R160" i="1"/>
  <c r="T160" i="1" s="1"/>
  <c r="Q160" i="1"/>
  <c r="P160" i="1"/>
  <c r="O160" i="1"/>
  <c r="N160" i="1"/>
  <c r="M160" i="1"/>
  <c r="L160" i="1"/>
  <c r="K160" i="1"/>
  <c r="E160" i="1" s="1"/>
  <c r="J160" i="1"/>
  <c r="H160" i="1" s="1"/>
  <c r="I160" i="1"/>
  <c r="G160" i="1"/>
  <c r="F160" i="1"/>
  <c r="D160" i="1" s="1"/>
  <c r="T159" i="1"/>
  <c r="S159" i="1"/>
  <c r="R159" i="1"/>
  <c r="Q159" i="1"/>
  <c r="P159" i="1"/>
  <c r="O159" i="1"/>
  <c r="N159" i="1"/>
  <c r="M159" i="1"/>
  <c r="L159" i="1"/>
  <c r="K159" i="1"/>
  <c r="E159" i="1" s="1"/>
  <c r="J159" i="1"/>
  <c r="I159" i="1"/>
  <c r="G159" i="1" s="1"/>
  <c r="F159" i="1"/>
  <c r="D159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G158" i="1" s="1"/>
  <c r="H158" i="1"/>
  <c r="F158" i="1"/>
  <c r="E158" i="1"/>
  <c r="D158" i="1"/>
  <c r="T157" i="1"/>
  <c r="R157" i="1"/>
  <c r="S157" i="1" s="1"/>
  <c r="Q157" i="1"/>
  <c r="P157" i="1"/>
  <c r="O157" i="1"/>
  <c r="N157" i="1"/>
  <c r="M157" i="1"/>
  <c r="H157" i="1" s="1"/>
  <c r="L157" i="1"/>
  <c r="K157" i="1"/>
  <c r="J157" i="1"/>
  <c r="I157" i="1"/>
  <c r="G157" i="1" s="1"/>
  <c r="F157" i="1"/>
  <c r="D157" i="1" s="1"/>
  <c r="S156" i="1"/>
  <c r="R156" i="1"/>
  <c r="T156" i="1" s="1"/>
  <c r="Q156" i="1"/>
  <c r="P156" i="1"/>
  <c r="O156" i="1"/>
  <c r="N156" i="1"/>
  <c r="M156" i="1"/>
  <c r="L156" i="1"/>
  <c r="K156" i="1"/>
  <c r="E156" i="1" s="1"/>
  <c r="J156" i="1"/>
  <c r="H156" i="1" s="1"/>
  <c r="I156" i="1"/>
  <c r="G156" i="1"/>
  <c r="F156" i="1"/>
  <c r="D156" i="1" s="1"/>
  <c r="R155" i="1"/>
  <c r="T155" i="1" s="1"/>
  <c r="Q155" i="1"/>
  <c r="P155" i="1"/>
  <c r="O155" i="1"/>
  <c r="N155" i="1"/>
  <c r="M155" i="1"/>
  <c r="L155" i="1"/>
  <c r="G155" i="1" s="1"/>
  <c r="K155" i="1"/>
  <c r="E155" i="1" s="1"/>
  <c r="J155" i="1"/>
  <c r="I155" i="1"/>
  <c r="H155" i="1"/>
  <c r="F155" i="1"/>
  <c r="D155" i="1" s="1"/>
  <c r="T154" i="1"/>
  <c r="S154" i="1"/>
  <c r="R154" i="1"/>
  <c r="Q154" i="1"/>
  <c r="P154" i="1"/>
  <c r="O154" i="1"/>
  <c r="N154" i="1"/>
  <c r="M154" i="1"/>
  <c r="L154" i="1"/>
  <c r="K154" i="1"/>
  <c r="J154" i="1"/>
  <c r="I154" i="1"/>
  <c r="G154" i="1" s="1"/>
  <c r="F154" i="1"/>
  <c r="E154" i="1"/>
  <c r="D154" i="1"/>
  <c r="R153" i="1"/>
  <c r="T153" i="1" s="1"/>
  <c r="Q153" i="1"/>
  <c r="P153" i="1"/>
  <c r="O153" i="1"/>
  <c r="N153" i="1"/>
  <c r="E153" i="1" s="1"/>
  <c r="M153" i="1"/>
  <c r="L153" i="1"/>
  <c r="K153" i="1"/>
  <c r="J153" i="1"/>
  <c r="H153" i="1" s="1"/>
  <c r="I153" i="1"/>
  <c r="G153" i="1" s="1"/>
  <c r="F153" i="1"/>
  <c r="D153" i="1"/>
  <c r="S152" i="1"/>
  <c r="R152" i="1"/>
  <c r="T152" i="1" s="1"/>
  <c r="Q152" i="1"/>
  <c r="P152" i="1"/>
  <c r="O152" i="1"/>
  <c r="N152" i="1"/>
  <c r="M152" i="1"/>
  <c r="L152" i="1"/>
  <c r="K152" i="1"/>
  <c r="E152" i="1" s="1"/>
  <c r="J152" i="1"/>
  <c r="H152" i="1" s="1"/>
  <c r="I152" i="1"/>
  <c r="G152" i="1" s="1"/>
  <c r="F152" i="1"/>
  <c r="D152" i="1" s="1"/>
  <c r="T151" i="1"/>
  <c r="S151" i="1"/>
  <c r="R151" i="1"/>
  <c r="Q151" i="1"/>
  <c r="P151" i="1"/>
  <c r="O151" i="1"/>
  <c r="N151" i="1"/>
  <c r="M151" i="1"/>
  <c r="L151" i="1"/>
  <c r="K151" i="1"/>
  <c r="E151" i="1" s="1"/>
  <c r="J151" i="1"/>
  <c r="I151" i="1"/>
  <c r="H151" i="1"/>
  <c r="G151" i="1"/>
  <c r="F151" i="1"/>
  <c r="D151" i="1"/>
  <c r="T150" i="1"/>
  <c r="S150" i="1"/>
  <c r="R150" i="1"/>
  <c r="Q150" i="1"/>
  <c r="P150" i="1"/>
  <c r="O150" i="1"/>
  <c r="N150" i="1"/>
  <c r="M150" i="1"/>
  <c r="H150" i="1" s="1"/>
  <c r="L150" i="1"/>
  <c r="G150" i="1" s="1"/>
  <c r="K150" i="1"/>
  <c r="J150" i="1"/>
  <c r="I150" i="1"/>
  <c r="F150" i="1"/>
  <c r="E150" i="1"/>
  <c r="D150" i="1"/>
  <c r="R149" i="1"/>
  <c r="Q149" i="1"/>
  <c r="E149" i="1" s="1"/>
  <c r="P149" i="1"/>
  <c r="O149" i="1"/>
  <c r="N149" i="1"/>
  <c r="M149" i="1"/>
  <c r="L149" i="1"/>
  <c r="K149" i="1"/>
  <c r="J149" i="1"/>
  <c r="H149" i="1" s="1"/>
  <c r="I149" i="1"/>
  <c r="G149" i="1" s="1"/>
  <c r="F149" i="1"/>
  <c r="D149" i="1" s="1"/>
  <c r="S148" i="1"/>
  <c r="R148" i="1"/>
  <c r="T148" i="1" s="1"/>
  <c r="Q148" i="1"/>
  <c r="P148" i="1"/>
  <c r="O148" i="1"/>
  <c r="N148" i="1"/>
  <c r="M148" i="1"/>
  <c r="L148" i="1"/>
  <c r="K148" i="1"/>
  <c r="E148" i="1" s="1"/>
  <c r="J148" i="1"/>
  <c r="H148" i="1" s="1"/>
  <c r="I148" i="1"/>
  <c r="G148" i="1"/>
  <c r="F148" i="1"/>
  <c r="D148" i="1" s="1"/>
  <c r="T147" i="1"/>
  <c r="S147" i="1"/>
  <c r="R147" i="1"/>
  <c r="Q147" i="1"/>
  <c r="P147" i="1"/>
  <c r="O147" i="1"/>
  <c r="N147" i="1"/>
  <c r="M147" i="1"/>
  <c r="L147" i="1"/>
  <c r="K147" i="1"/>
  <c r="E147" i="1" s="1"/>
  <c r="J147" i="1"/>
  <c r="I147" i="1"/>
  <c r="F147" i="1"/>
  <c r="D147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G146" i="1" s="1"/>
  <c r="H146" i="1"/>
  <c r="F146" i="1"/>
  <c r="E146" i="1"/>
  <c r="D146" i="1"/>
  <c r="T145" i="1"/>
  <c r="R145" i="1"/>
  <c r="S145" i="1" s="1"/>
  <c r="Q145" i="1"/>
  <c r="P145" i="1"/>
  <c r="O145" i="1"/>
  <c r="N145" i="1"/>
  <c r="E145" i="1" s="1"/>
  <c r="M145" i="1"/>
  <c r="H145" i="1" s="1"/>
  <c r="L145" i="1"/>
  <c r="K145" i="1"/>
  <c r="J145" i="1"/>
  <c r="I145" i="1"/>
  <c r="G145" i="1" s="1"/>
  <c r="F145" i="1"/>
  <c r="D145" i="1" s="1"/>
  <c r="R144" i="1"/>
  <c r="T144" i="1" s="1"/>
  <c r="Q144" i="1"/>
  <c r="P144" i="1"/>
  <c r="O144" i="1"/>
  <c r="N144" i="1"/>
  <c r="M144" i="1"/>
  <c r="L144" i="1"/>
  <c r="K144" i="1"/>
  <c r="E144" i="1" s="1"/>
  <c r="J144" i="1"/>
  <c r="H144" i="1" s="1"/>
  <c r="I144" i="1"/>
  <c r="G144" i="1"/>
  <c r="F144" i="1"/>
  <c r="D144" i="1" s="1"/>
  <c r="R143" i="1"/>
  <c r="T143" i="1" s="1"/>
  <c r="Q143" i="1"/>
  <c r="P143" i="1"/>
  <c r="O143" i="1"/>
  <c r="N143" i="1"/>
  <c r="M143" i="1"/>
  <c r="L143" i="1"/>
  <c r="G143" i="1" s="1"/>
  <c r="K143" i="1"/>
  <c r="E143" i="1" s="1"/>
  <c r="J143" i="1"/>
  <c r="I143" i="1"/>
  <c r="H143" i="1"/>
  <c r="F143" i="1"/>
  <c r="D143" i="1" s="1"/>
  <c r="T142" i="1"/>
  <c r="S142" i="1"/>
  <c r="R142" i="1"/>
  <c r="Q142" i="1"/>
  <c r="P142" i="1"/>
  <c r="O142" i="1"/>
  <c r="N142" i="1"/>
  <c r="M142" i="1"/>
  <c r="L142" i="1"/>
  <c r="K142" i="1"/>
  <c r="J142" i="1"/>
  <c r="H142" i="1" s="1"/>
  <c r="I142" i="1"/>
  <c r="G142" i="1" s="1"/>
  <c r="F142" i="1"/>
  <c r="E142" i="1"/>
  <c r="D142" i="1"/>
  <c r="R141" i="1"/>
  <c r="T141" i="1" s="1"/>
  <c r="Q141" i="1"/>
  <c r="P141" i="1"/>
  <c r="O141" i="1"/>
  <c r="N141" i="1"/>
  <c r="E141" i="1" s="1"/>
  <c r="M141" i="1"/>
  <c r="L141" i="1"/>
  <c r="K141" i="1"/>
  <c r="J141" i="1"/>
  <c r="H141" i="1" s="1"/>
  <c r="I141" i="1"/>
  <c r="G141" i="1" s="1"/>
  <c r="F141" i="1"/>
  <c r="D141" i="1"/>
  <c r="S140" i="1"/>
  <c r="R140" i="1"/>
  <c r="T140" i="1" s="1"/>
  <c r="Q140" i="1"/>
  <c r="P140" i="1"/>
  <c r="O140" i="1"/>
  <c r="N140" i="1"/>
  <c r="M140" i="1"/>
  <c r="L140" i="1"/>
  <c r="K140" i="1"/>
  <c r="J140" i="1"/>
  <c r="H140" i="1" s="1"/>
  <c r="I140" i="1"/>
  <c r="F140" i="1"/>
  <c r="D140" i="1"/>
  <c r="T139" i="1"/>
  <c r="S139" i="1"/>
  <c r="R139" i="1"/>
  <c r="Q139" i="1"/>
  <c r="P139" i="1"/>
  <c r="O139" i="1"/>
  <c r="N139" i="1"/>
  <c r="M139" i="1"/>
  <c r="L139" i="1"/>
  <c r="K139" i="1"/>
  <c r="E139" i="1" s="1"/>
  <c r="J139" i="1"/>
  <c r="I139" i="1"/>
  <c r="H139" i="1"/>
  <c r="G139" i="1"/>
  <c r="F139" i="1"/>
  <c r="D139" i="1"/>
  <c r="T138" i="1"/>
  <c r="S138" i="1"/>
  <c r="R138" i="1"/>
  <c r="Q138" i="1"/>
  <c r="P138" i="1"/>
  <c r="O138" i="1"/>
  <c r="N138" i="1"/>
  <c r="M138" i="1"/>
  <c r="H138" i="1" s="1"/>
  <c r="L138" i="1"/>
  <c r="G138" i="1" s="1"/>
  <c r="K138" i="1"/>
  <c r="J138" i="1"/>
  <c r="I138" i="1"/>
  <c r="F138" i="1"/>
  <c r="E138" i="1"/>
  <c r="D138" i="1"/>
  <c r="R137" i="1"/>
  <c r="Q137" i="1"/>
  <c r="P137" i="1"/>
  <c r="O137" i="1"/>
  <c r="N137" i="1"/>
  <c r="M137" i="1"/>
  <c r="L137" i="1"/>
  <c r="G137" i="1" s="1"/>
  <c r="K137" i="1"/>
  <c r="J137" i="1"/>
  <c r="H137" i="1" s="1"/>
  <c r="I137" i="1"/>
  <c r="F137" i="1"/>
  <c r="D137" i="1" s="1"/>
  <c r="E137" i="1"/>
  <c r="S136" i="1"/>
  <c r="R136" i="1"/>
  <c r="T136" i="1" s="1"/>
  <c r="Q136" i="1"/>
  <c r="P136" i="1"/>
  <c r="O136" i="1"/>
  <c r="N136" i="1"/>
  <c r="M136" i="1"/>
  <c r="L136" i="1"/>
  <c r="K136" i="1"/>
  <c r="E136" i="1" s="1"/>
  <c r="J136" i="1"/>
  <c r="H136" i="1" s="1"/>
  <c r="I136" i="1"/>
  <c r="G136" i="1"/>
  <c r="F136" i="1"/>
  <c r="D136" i="1" s="1"/>
  <c r="T135" i="1"/>
  <c r="S135" i="1"/>
  <c r="R135" i="1"/>
  <c r="Q135" i="1"/>
  <c r="P135" i="1"/>
  <c r="O135" i="1"/>
  <c r="N135" i="1"/>
  <c r="M135" i="1"/>
  <c r="L135" i="1"/>
  <c r="K135" i="1"/>
  <c r="E135" i="1" s="1"/>
  <c r="J135" i="1"/>
  <c r="H135" i="1" s="1"/>
  <c r="I135" i="1"/>
  <c r="F135" i="1"/>
  <c r="D135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G134" i="1" s="1"/>
  <c r="H134" i="1"/>
  <c r="F134" i="1"/>
  <c r="E134" i="1"/>
  <c r="D134" i="1"/>
  <c r="T133" i="1"/>
  <c r="R133" i="1"/>
  <c r="S133" i="1" s="1"/>
  <c r="Q133" i="1"/>
  <c r="P133" i="1"/>
  <c r="O133" i="1"/>
  <c r="N133" i="1"/>
  <c r="E133" i="1" s="1"/>
  <c r="M133" i="1"/>
  <c r="H133" i="1" s="1"/>
  <c r="L133" i="1"/>
  <c r="K133" i="1"/>
  <c r="J133" i="1"/>
  <c r="I133" i="1"/>
  <c r="G133" i="1" s="1"/>
  <c r="F133" i="1"/>
  <c r="D133" i="1" s="1"/>
  <c r="R132" i="1"/>
  <c r="T132" i="1" s="1"/>
  <c r="Q132" i="1"/>
  <c r="P132" i="1"/>
  <c r="O132" i="1"/>
  <c r="N132" i="1"/>
  <c r="M132" i="1"/>
  <c r="H132" i="1" s="1"/>
  <c r="L132" i="1"/>
  <c r="K132" i="1"/>
  <c r="E132" i="1" s="1"/>
  <c r="J132" i="1"/>
  <c r="I132" i="1"/>
  <c r="G132" i="1"/>
  <c r="F132" i="1"/>
  <c r="D132" i="1" s="1"/>
  <c r="R131" i="1"/>
  <c r="T131" i="1" s="1"/>
  <c r="Q131" i="1"/>
  <c r="P131" i="1"/>
  <c r="O131" i="1"/>
  <c r="N131" i="1"/>
  <c r="M131" i="1"/>
  <c r="L131" i="1"/>
  <c r="G131" i="1" s="1"/>
  <c r="K131" i="1"/>
  <c r="E131" i="1" s="1"/>
  <c r="J131" i="1"/>
  <c r="I131" i="1"/>
  <c r="H131" i="1"/>
  <c r="F131" i="1"/>
  <c r="D131" i="1" s="1"/>
  <c r="R130" i="1"/>
  <c r="T130" i="1" s="1"/>
  <c r="Q130" i="1"/>
  <c r="E130" i="1" s="1"/>
  <c r="P130" i="1"/>
  <c r="O130" i="1"/>
  <c r="N130" i="1"/>
  <c r="M130" i="1"/>
  <c r="L130" i="1"/>
  <c r="K130" i="1"/>
  <c r="J130" i="1"/>
  <c r="I130" i="1"/>
  <c r="G130" i="1" s="1"/>
  <c r="F130" i="1"/>
  <c r="D130" i="1"/>
  <c r="R129" i="1"/>
  <c r="T129" i="1" s="1"/>
  <c r="Q129" i="1"/>
  <c r="P129" i="1"/>
  <c r="O129" i="1"/>
  <c r="N129" i="1"/>
  <c r="E129" i="1" s="1"/>
  <c r="M129" i="1"/>
  <c r="L129" i="1"/>
  <c r="K129" i="1"/>
  <c r="J129" i="1"/>
  <c r="H129" i="1" s="1"/>
  <c r="I129" i="1"/>
  <c r="G129" i="1" s="1"/>
  <c r="F129" i="1"/>
  <c r="D129" i="1"/>
  <c r="S128" i="1"/>
  <c r="R128" i="1"/>
  <c r="T128" i="1" s="1"/>
  <c r="Q128" i="1"/>
  <c r="P128" i="1"/>
  <c r="O128" i="1"/>
  <c r="N128" i="1"/>
  <c r="M128" i="1"/>
  <c r="L128" i="1"/>
  <c r="K128" i="1"/>
  <c r="E128" i="1" s="1"/>
  <c r="J128" i="1"/>
  <c r="H128" i="1" s="1"/>
  <c r="I128" i="1"/>
  <c r="F128" i="1"/>
  <c r="D128" i="1"/>
  <c r="T127" i="1"/>
  <c r="S127" i="1"/>
  <c r="R127" i="1"/>
  <c r="Q127" i="1"/>
  <c r="P127" i="1"/>
  <c r="O127" i="1"/>
  <c r="N127" i="1"/>
  <c r="M127" i="1"/>
  <c r="L127" i="1"/>
  <c r="K127" i="1"/>
  <c r="E127" i="1" s="1"/>
  <c r="J127" i="1"/>
  <c r="I127" i="1"/>
  <c r="H127" i="1"/>
  <c r="G127" i="1"/>
  <c r="F127" i="1"/>
  <c r="D127" i="1"/>
  <c r="T126" i="1"/>
  <c r="S126" i="1"/>
  <c r="R126" i="1"/>
  <c r="Q126" i="1"/>
  <c r="P126" i="1"/>
  <c r="O126" i="1"/>
  <c r="N126" i="1"/>
  <c r="M126" i="1"/>
  <c r="H126" i="1" s="1"/>
  <c r="L126" i="1"/>
  <c r="G126" i="1" s="1"/>
  <c r="K126" i="1"/>
  <c r="J126" i="1"/>
  <c r="I126" i="1"/>
  <c r="F126" i="1"/>
  <c r="E126" i="1"/>
  <c r="D126" i="1"/>
  <c r="R125" i="1"/>
  <c r="Q125" i="1"/>
  <c r="E125" i="1" s="1"/>
  <c r="P125" i="1"/>
  <c r="O125" i="1"/>
  <c r="N125" i="1"/>
  <c r="M125" i="1"/>
  <c r="L125" i="1"/>
  <c r="G125" i="1" s="1"/>
  <c r="K125" i="1"/>
  <c r="J125" i="1"/>
  <c r="H125" i="1" s="1"/>
  <c r="I125" i="1"/>
  <c r="F125" i="1"/>
  <c r="D125" i="1" s="1"/>
  <c r="S124" i="1"/>
  <c r="R124" i="1"/>
  <c r="T124" i="1" s="1"/>
  <c r="Q124" i="1"/>
  <c r="P124" i="1"/>
  <c r="O124" i="1"/>
  <c r="N124" i="1"/>
  <c r="M124" i="1"/>
  <c r="L124" i="1"/>
  <c r="K124" i="1"/>
  <c r="J124" i="1"/>
  <c r="H124" i="1" s="1"/>
  <c r="I124" i="1"/>
  <c r="G124" i="1"/>
  <c r="F124" i="1"/>
  <c r="D124" i="1" s="1"/>
  <c r="E124" i="1"/>
  <c r="T123" i="1"/>
  <c r="S123" i="1"/>
  <c r="R123" i="1"/>
  <c r="Q123" i="1"/>
  <c r="P123" i="1"/>
  <c r="O123" i="1"/>
  <c r="N123" i="1"/>
  <c r="M123" i="1"/>
  <c r="L123" i="1"/>
  <c r="K123" i="1"/>
  <c r="E123" i="1" s="1"/>
  <c r="J123" i="1"/>
  <c r="I123" i="1"/>
  <c r="G123" i="1" s="1"/>
  <c r="F123" i="1"/>
  <c r="D123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F122" i="1"/>
  <c r="E122" i="1"/>
  <c r="D122" i="1"/>
  <c r="T121" i="1"/>
  <c r="R121" i="1"/>
  <c r="S121" i="1" s="1"/>
  <c r="Q121" i="1"/>
  <c r="P121" i="1"/>
  <c r="O121" i="1"/>
  <c r="N121" i="1"/>
  <c r="E121" i="1" s="1"/>
  <c r="M121" i="1"/>
  <c r="H121" i="1" s="1"/>
  <c r="L121" i="1"/>
  <c r="K121" i="1"/>
  <c r="J121" i="1"/>
  <c r="I121" i="1"/>
  <c r="G121" i="1" s="1"/>
  <c r="F121" i="1"/>
  <c r="D121" i="1" s="1"/>
  <c r="S120" i="1"/>
  <c r="R120" i="1"/>
  <c r="T120" i="1" s="1"/>
  <c r="Q120" i="1"/>
  <c r="P120" i="1"/>
  <c r="O120" i="1"/>
  <c r="N120" i="1"/>
  <c r="M120" i="1"/>
  <c r="H120" i="1" s="1"/>
  <c r="L120" i="1"/>
  <c r="K120" i="1"/>
  <c r="E120" i="1" s="1"/>
  <c r="J120" i="1"/>
  <c r="I120" i="1"/>
  <c r="G120" i="1"/>
  <c r="F120" i="1"/>
  <c r="D120" i="1" s="1"/>
  <c r="R119" i="1"/>
  <c r="Q119" i="1"/>
  <c r="P119" i="1"/>
  <c r="O119" i="1"/>
  <c r="N119" i="1"/>
  <c r="M119" i="1"/>
  <c r="L119" i="1"/>
  <c r="G119" i="1" s="1"/>
  <c r="K119" i="1"/>
  <c r="E119" i="1" s="1"/>
  <c r="J119" i="1"/>
  <c r="I119" i="1"/>
  <c r="H119" i="1"/>
  <c r="F119" i="1"/>
  <c r="D119" i="1" s="1"/>
  <c r="R118" i="1"/>
  <c r="T118" i="1" s="1"/>
  <c r="Q118" i="1"/>
  <c r="P118" i="1"/>
  <c r="O118" i="1"/>
  <c r="N118" i="1"/>
  <c r="M118" i="1"/>
  <c r="L118" i="1"/>
  <c r="K118" i="1"/>
  <c r="J118" i="1"/>
  <c r="H118" i="1" s="1"/>
  <c r="I118" i="1"/>
  <c r="G118" i="1" s="1"/>
  <c r="F118" i="1"/>
  <c r="E118" i="1"/>
  <c r="D118" i="1"/>
  <c r="R117" i="1"/>
  <c r="T117" i="1" s="1"/>
  <c r="Q117" i="1"/>
  <c r="P117" i="1"/>
  <c r="O117" i="1"/>
  <c r="N117" i="1"/>
  <c r="E117" i="1" s="1"/>
  <c r="M117" i="1"/>
  <c r="L117" i="1"/>
  <c r="K117" i="1"/>
  <c r="J117" i="1"/>
  <c r="I117" i="1"/>
  <c r="G117" i="1" s="1"/>
  <c r="F117" i="1"/>
  <c r="D117" i="1"/>
  <c r="S116" i="1"/>
  <c r="R116" i="1"/>
  <c r="T116" i="1" s="1"/>
  <c r="Q116" i="1"/>
  <c r="P116" i="1"/>
  <c r="O116" i="1"/>
  <c r="N116" i="1"/>
  <c r="M116" i="1"/>
  <c r="L116" i="1"/>
  <c r="K116" i="1"/>
  <c r="J116" i="1"/>
  <c r="H116" i="1" s="1"/>
  <c r="I116" i="1"/>
  <c r="G116" i="1" s="1"/>
  <c r="F116" i="1"/>
  <c r="D116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D115" i="1"/>
  <c r="T114" i="1"/>
  <c r="S114" i="1"/>
  <c r="R114" i="1"/>
  <c r="Q114" i="1"/>
  <c r="P114" i="1"/>
  <c r="O114" i="1"/>
  <c r="N114" i="1"/>
  <c r="M114" i="1"/>
  <c r="H114" i="1" s="1"/>
  <c r="L114" i="1"/>
  <c r="G114" i="1" s="1"/>
  <c r="K114" i="1"/>
  <c r="J114" i="1"/>
  <c r="I114" i="1"/>
  <c r="F114" i="1"/>
  <c r="E114" i="1"/>
  <c r="D114" i="1"/>
  <c r="R113" i="1"/>
  <c r="Q113" i="1"/>
  <c r="E113" i="1" s="1"/>
  <c r="P113" i="1"/>
  <c r="O113" i="1"/>
  <c r="N113" i="1"/>
  <c r="M113" i="1"/>
  <c r="L113" i="1"/>
  <c r="G113" i="1" s="1"/>
  <c r="K113" i="1"/>
  <c r="J113" i="1"/>
  <c r="H113" i="1" s="1"/>
  <c r="I113" i="1"/>
  <c r="F113" i="1"/>
  <c r="D113" i="1" s="1"/>
  <c r="S112" i="1"/>
  <c r="R112" i="1"/>
  <c r="T112" i="1" s="1"/>
  <c r="Q112" i="1"/>
  <c r="P112" i="1"/>
  <c r="O112" i="1"/>
  <c r="N112" i="1"/>
  <c r="M112" i="1"/>
  <c r="L112" i="1"/>
  <c r="K112" i="1"/>
  <c r="J112" i="1"/>
  <c r="H112" i="1" s="1"/>
  <c r="I112" i="1"/>
  <c r="G112" i="1"/>
  <c r="F112" i="1"/>
  <c r="D112" i="1" s="1"/>
  <c r="E112" i="1"/>
  <c r="T111" i="1"/>
  <c r="R111" i="1"/>
  <c r="S111" i="1" s="1"/>
  <c r="Q111" i="1"/>
  <c r="P111" i="1"/>
  <c r="O111" i="1"/>
  <c r="N111" i="1"/>
  <c r="M111" i="1"/>
  <c r="L111" i="1"/>
  <c r="K111" i="1"/>
  <c r="E111" i="1" s="1"/>
  <c r="J111" i="1"/>
  <c r="I111" i="1"/>
  <c r="G111" i="1" s="1"/>
  <c r="F111" i="1"/>
  <c r="D111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F110" i="1"/>
  <c r="E110" i="1"/>
  <c r="D110" i="1"/>
  <c r="T109" i="1"/>
  <c r="R109" i="1"/>
  <c r="S109" i="1" s="1"/>
  <c r="Q109" i="1"/>
  <c r="P109" i="1"/>
  <c r="O109" i="1"/>
  <c r="N109" i="1"/>
  <c r="E109" i="1" s="1"/>
  <c r="M109" i="1"/>
  <c r="H109" i="1" s="1"/>
  <c r="L109" i="1"/>
  <c r="K109" i="1"/>
  <c r="J109" i="1"/>
  <c r="I109" i="1"/>
  <c r="G109" i="1" s="1"/>
  <c r="F109" i="1"/>
  <c r="D109" i="1" s="1"/>
  <c r="S108" i="1"/>
  <c r="R108" i="1"/>
  <c r="T108" i="1" s="1"/>
  <c r="Q108" i="1"/>
  <c r="P108" i="1"/>
  <c r="O108" i="1"/>
  <c r="N108" i="1"/>
  <c r="M108" i="1"/>
  <c r="H108" i="1" s="1"/>
  <c r="L108" i="1"/>
  <c r="K108" i="1"/>
  <c r="E108" i="1" s="1"/>
  <c r="J108" i="1"/>
  <c r="I108" i="1"/>
  <c r="G108" i="1"/>
  <c r="F108" i="1"/>
  <c r="D108" i="1" s="1"/>
  <c r="R107" i="1"/>
  <c r="Q107" i="1"/>
  <c r="P107" i="1"/>
  <c r="O107" i="1"/>
  <c r="N107" i="1"/>
  <c r="M107" i="1"/>
  <c r="L107" i="1"/>
  <c r="G107" i="1" s="1"/>
  <c r="K107" i="1"/>
  <c r="E107" i="1" s="1"/>
  <c r="J107" i="1"/>
  <c r="I107" i="1"/>
  <c r="H107" i="1"/>
  <c r="F107" i="1"/>
  <c r="D107" i="1" s="1"/>
  <c r="R106" i="1"/>
  <c r="T106" i="1" s="1"/>
  <c r="Q106" i="1"/>
  <c r="E106" i="1" s="1"/>
  <c r="P106" i="1"/>
  <c r="O106" i="1"/>
  <c r="N106" i="1"/>
  <c r="M106" i="1"/>
  <c r="L106" i="1"/>
  <c r="K106" i="1"/>
  <c r="J106" i="1"/>
  <c r="H106" i="1" s="1"/>
  <c r="I106" i="1"/>
  <c r="G106" i="1" s="1"/>
  <c r="F106" i="1"/>
  <c r="D106" i="1"/>
  <c r="R105" i="1"/>
  <c r="T105" i="1" s="1"/>
  <c r="Q105" i="1"/>
  <c r="P105" i="1"/>
  <c r="O105" i="1"/>
  <c r="N105" i="1"/>
  <c r="E105" i="1" s="1"/>
  <c r="M105" i="1"/>
  <c r="L105" i="1"/>
  <c r="K105" i="1"/>
  <c r="J105" i="1"/>
  <c r="I105" i="1"/>
  <c r="G105" i="1" s="1"/>
  <c r="F105" i="1"/>
  <c r="D105" i="1"/>
  <c r="S104" i="1"/>
  <c r="R104" i="1"/>
  <c r="T104" i="1" s="1"/>
  <c r="Q104" i="1"/>
  <c r="P104" i="1"/>
  <c r="O104" i="1"/>
  <c r="N104" i="1"/>
  <c r="M104" i="1"/>
  <c r="L104" i="1"/>
  <c r="K104" i="1"/>
  <c r="E104" i="1" s="1"/>
  <c r="J104" i="1"/>
  <c r="H104" i="1" s="1"/>
  <c r="I104" i="1"/>
  <c r="G104" i="1" s="1"/>
  <c r="F104" i="1"/>
  <c r="D104" i="1"/>
  <c r="T103" i="1"/>
  <c r="S103" i="1"/>
  <c r="R103" i="1"/>
  <c r="Q103" i="1"/>
  <c r="P103" i="1"/>
  <c r="O103" i="1"/>
  <c r="N103" i="1"/>
  <c r="M103" i="1"/>
  <c r="L103" i="1"/>
  <c r="K103" i="1"/>
  <c r="E103" i="1" s="1"/>
  <c r="J103" i="1"/>
  <c r="I103" i="1"/>
  <c r="H103" i="1"/>
  <c r="G103" i="1"/>
  <c r="F103" i="1"/>
  <c r="D103" i="1"/>
  <c r="T102" i="1"/>
  <c r="S102" i="1"/>
  <c r="R102" i="1"/>
  <c r="Q102" i="1"/>
  <c r="P102" i="1"/>
  <c r="O102" i="1"/>
  <c r="N102" i="1"/>
  <c r="M102" i="1"/>
  <c r="H102" i="1" s="1"/>
  <c r="L102" i="1"/>
  <c r="G102" i="1" s="1"/>
  <c r="K102" i="1"/>
  <c r="J102" i="1"/>
  <c r="I102" i="1"/>
  <c r="F102" i="1"/>
  <c r="E102" i="1"/>
  <c r="D102" i="1"/>
  <c r="R101" i="1"/>
  <c r="Q101" i="1"/>
  <c r="P101" i="1"/>
  <c r="O101" i="1"/>
  <c r="N101" i="1"/>
  <c r="E101" i="1" s="1"/>
  <c r="M101" i="1"/>
  <c r="L101" i="1"/>
  <c r="G101" i="1" s="1"/>
  <c r="K101" i="1"/>
  <c r="J101" i="1"/>
  <c r="H101" i="1" s="1"/>
  <c r="I101" i="1"/>
  <c r="F101" i="1"/>
  <c r="D101" i="1" s="1"/>
  <c r="S100" i="1"/>
  <c r="R100" i="1"/>
  <c r="T100" i="1" s="1"/>
  <c r="Q100" i="1"/>
  <c r="P100" i="1"/>
  <c r="O100" i="1"/>
  <c r="N100" i="1"/>
  <c r="M100" i="1"/>
  <c r="L100" i="1"/>
  <c r="K100" i="1"/>
  <c r="J100" i="1"/>
  <c r="H100" i="1" s="1"/>
  <c r="I100" i="1"/>
  <c r="G100" i="1"/>
  <c r="F100" i="1"/>
  <c r="D100" i="1" s="1"/>
  <c r="E100" i="1"/>
  <c r="T99" i="1"/>
  <c r="R99" i="1"/>
  <c r="S99" i="1" s="1"/>
  <c r="Q99" i="1"/>
  <c r="P99" i="1"/>
  <c r="O99" i="1"/>
  <c r="N99" i="1"/>
  <c r="M99" i="1"/>
  <c r="L99" i="1"/>
  <c r="K99" i="1"/>
  <c r="E99" i="1" s="1"/>
  <c r="J99" i="1"/>
  <c r="I99" i="1"/>
  <c r="F99" i="1"/>
  <c r="D99" i="1"/>
  <c r="T98" i="1"/>
  <c r="S98" i="1"/>
  <c r="R98" i="1"/>
  <c r="Q98" i="1"/>
  <c r="E98" i="1" s="1"/>
  <c r="P98" i="1"/>
  <c r="O98" i="1"/>
  <c r="N98" i="1"/>
  <c r="M98" i="1"/>
  <c r="L98" i="1"/>
  <c r="K98" i="1"/>
  <c r="J98" i="1"/>
  <c r="I98" i="1"/>
  <c r="G98" i="1" s="1"/>
  <c r="H98" i="1"/>
  <c r="F98" i="1"/>
  <c r="D98" i="1"/>
  <c r="T97" i="1"/>
  <c r="R97" i="1"/>
  <c r="S97" i="1" s="1"/>
  <c r="Q97" i="1"/>
  <c r="P97" i="1"/>
  <c r="O97" i="1"/>
  <c r="N97" i="1"/>
  <c r="E97" i="1" s="1"/>
  <c r="M97" i="1"/>
  <c r="L97" i="1"/>
  <c r="K97" i="1"/>
  <c r="J97" i="1"/>
  <c r="I97" i="1"/>
  <c r="G97" i="1" s="1"/>
  <c r="H97" i="1"/>
  <c r="F97" i="1"/>
  <c r="D97" i="1" s="1"/>
  <c r="R96" i="1"/>
  <c r="T96" i="1" s="1"/>
  <c r="Q96" i="1"/>
  <c r="P96" i="1"/>
  <c r="O96" i="1"/>
  <c r="G96" i="1" s="1"/>
  <c r="N96" i="1"/>
  <c r="M96" i="1"/>
  <c r="H96" i="1" s="1"/>
  <c r="L96" i="1"/>
  <c r="K96" i="1"/>
  <c r="E96" i="1" s="1"/>
  <c r="J96" i="1"/>
  <c r="I96" i="1"/>
  <c r="F96" i="1"/>
  <c r="D96" i="1" s="1"/>
  <c r="T95" i="1"/>
  <c r="R95" i="1"/>
  <c r="S95" i="1" s="1"/>
  <c r="Q95" i="1"/>
  <c r="P95" i="1"/>
  <c r="O95" i="1"/>
  <c r="N95" i="1"/>
  <c r="M95" i="1"/>
  <c r="L95" i="1"/>
  <c r="G95" i="1" s="1"/>
  <c r="K95" i="1"/>
  <c r="E95" i="1" s="1"/>
  <c r="J95" i="1"/>
  <c r="I95" i="1"/>
  <c r="H95" i="1"/>
  <c r="F95" i="1"/>
  <c r="D95" i="1" s="1"/>
  <c r="S94" i="1"/>
  <c r="R94" i="1"/>
  <c r="T94" i="1" s="1"/>
  <c r="Q94" i="1"/>
  <c r="P94" i="1"/>
  <c r="O94" i="1"/>
  <c r="N94" i="1"/>
  <c r="M94" i="1"/>
  <c r="L94" i="1"/>
  <c r="K94" i="1"/>
  <c r="E94" i="1" s="1"/>
  <c r="J94" i="1"/>
  <c r="I94" i="1"/>
  <c r="G94" i="1" s="1"/>
  <c r="F94" i="1"/>
  <c r="D94" i="1"/>
  <c r="R93" i="1"/>
  <c r="Q93" i="1"/>
  <c r="P93" i="1"/>
  <c r="O93" i="1"/>
  <c r="N93" i="1"/>
  <c r="E93" i="1" s="1"/>
  <c r="M93" i="1"/>
  <c r="L93" i="1"/>
  <c r="K93" i="1"/>
  <c r="J93" i="1"/>
  <c r="I93" i="1"/>
  <c r="G93" i="1" s="1"/>
  <c r="F93" i="1"/>
  <c r="D93" i="1" s="1"/>
  <c r="S92" i="1"/>
  <c r="R92" i="1"/>
  <c r="T92" i="1" s="1"/>
  <c r="Q92" i="1"/>
  <c r="P92" i="1"/>
  <c r="O92" i="1"/>
  <c r="N92" i="1"/>
  <c r="M92" i="1"/>
  <c r="L92" i="1"/>
  <c r="K92" i="1"/>
  <c r="J92" i="1"/>
  <c r="H92" i="1" s="1"/>
  <c r="I92" i="1"/>
  <c r="G92" i="1" s="1"/>
  <c r="F92" i="1"/>
  <c r="D92" i="1"/>
  <c r="T91" i="1"/>
  <c r="S91" i="1"/>
  <c r="R91" i="1"/>
  <c r="Q91" i="1"/>
  <c r="P91" i="1"/>
  <c r="O91" i="1"/>
  <c r="N91" i="1"/>
  <c r="M91" i="1"/>
  <c r="L91" i="1"/>
  <c r="K91" i="1"/>
  <c r="E91" i="1" s="1"/>
  <c r="J91" i="1"/>
  <c r="I91" i="1"/>
  <c r="H91" i="1"/>
  <c r="G91" i="1"/>
  <c r="F91" i="1"/>
  <c r="D91" i="1"/>
  <c r="T90" i="1"/>
  <c r="S90" i="1"/>
  <c r="R90" i="1"/>
  <c r="Q90" i="1"/>
  <c r="P90" i="1"/>
  <c r="O90" i="1"/>
  <c r="N90" i="1"/>
  <c r="M90" i="1"/>
  <c r="H90" i="1" s="1"/>
  <c r="L90" i="1"/>
  <c r="G90" i="1" s="1"/>
  <c r="K90" i="1"/>
  <c r="J90" i="1"/>
  <c r="I90" i="1"/>
  <c r="F90" i="1"/>
  <c r="E90" i="1"/>
  <c r="D90" i="1"/>
  <c r="R89" i="1"/>
  <c r="Q89" i="1"/>
  <c r="P89" i="1"/>
  <c r="O89" i="1"/>
  <c r="N89" i="1"/>
  <c r="E89" i="1" s="1"/>
  <c r="M89" i="1"/>
  <c r="L89" i="1"/>
  <c r="G89" i="1" s="1"/>
  <c r="K89" i="1"/>
  <c r="J89" i="1"/>
  <c r="H89" i="1" s="1"/>
  <c r="I89" i="1"/>
  <c r="F89" i="1"/>
  <c r="D89" i="1" s="1"/>
  <c r="S88" i="1"/>
  <c r="R88" i="1"/>
  <c r="T88" i="1" s="1"/>
  <c r="Q88" i="1"/>
  <c r="P88" i="1"/>
  <c r="O88" i="1"/>
  <c r="N88" i="1"/>
  <c r="M88" i="1"/>
  <c r="L88" i="1"/>
  <c r="K88" i="1"/>
  <c r="J88" i="1"/>
  <c r="H88" i="1" s="1"/>
  <c r="I88" i="1"/>
  <c r="G88" i="1"/>
  <c r="F88" i="1"/>
  <c r="D88" i="1" s="1"/>
  <c r="E88" i="1"/>
  <c r="T87" i="1"/>
  <c r="R87" i="1"/>
  <c r="S87" i="1" s="1"/>
  <c r="Q87" i="1"/>
  <c r="P87" i="1"/>
  <c r="O87" i="1"/>
  <c r="N87" i="1"/>
  <c r="M87" i="1"/>
  <c r="L87" i="1"/>
  <c r="K87" i="1"/>
  <c r="E87" i="1" s="1"/>
  <c r="J87" i="1"/>
  <c r="I87" i="1"/>
  <c r="F87" i="1"/>
  <c r="D87" i="1"/>
  <c r="T86" i="1"/>
  <c r="S86" i="1"/>
  <c r="R86" i="1"/>
  <c r="Q86" i="1"/>
  <c r="E86" i="1" s="1"/>
  <c r="P86" i="1"/>
  <c r="O86" i="1"/>
  <c r="N86" i="1"/>
  <c r="M86" i="1"/>
  <c r="L86" i="1"/>
  <c r="K86" i="1"/>
  <c r="J86" i="1"/>
  <c r="I86" i="1"/>
  <c r="H86" i="1"/>
  <c r="F86" i="1"/>
  <c r="D86" i="1"/>
  <c r="T85" i="1"/>
  <c r="R85" i="1"/>
  <c r="S85" i="1" s="1"/>
  <c r="Q85" i="1"/>
  <c r="P85" i="1"/>
  <c r="O85" i="1"/>
  <c r="N85" i="1"/>
  <c r="E85" i="1" s="1"/>
  <c r="M85" i="1"/>
  <c r="L85" i="1"/>
  <c r="K85" i="1"/>
  <c r="J85" i="1"/>
  <c r="I85" i="1"/>
  <c r="G85" i="1" s="1"/>
  <c r="H85" i="1"/>
  <c r="F85" i="1"/>
  <c r="D85" i="1" s="1"/>
  <c r="R84" i="1"/>
  <c r="T84" i="1" s="1"/>
  <c r="Q84" i="1"/>
  <c r="P84" i="1"/>
  <c r="O84" i="1"/>
  <c r="G84" i="1" s="1"/>
  <c r="N84" i="1"/>
  <c r="M84" i="1"/>
  <c r="H84" i="1" s="1"/>
  <c r="L84" i="1"/>
  <c r="K84" i="1"/>
  <c r="E84" i="1" s="1"/>
  <c r="J84" i="1"/>
  <c r="I84" i="1"/>
  <c r="F84" i="1"/>
  <c r="D84" i="1" s="1"/>
  <c r="T83" i="1"/>
  <c r="R83" i="1"/>
  <c r="S83" i="1" s="1"/>
  <c r="Q83" i="1"/>
  <c r="P83" i="1"/>
  <c r="O83" i="1"/>
  <c r="N83" i="1"/>
  <c r="M83" i="1"/>
  <c r="L83" i="1"/>
  <c r="G83" i="1" s="1"/>
  <c r="K83" i="1"/>
  <c r="E83" i="1" s="1"/>
  <c r="J83" i="1"/>
  <c r="I83" i="1"/>
  <c r="H83" i="1"/>
  <c r="F83" i="1"/>
  <c r="D83" i="1" s="1"/>
  <c r="S82" i="1"/>
  <c r="R82" i="1"/>
  <c r="T82" i="1" s="1"/>
  <c r="Q82" i="1"/>
  <c r="P82" i="1"/>
  <c r="O82" i="1"/>
  <c r="N82" i="1"/>
  <c r="M82" i="1"/>
  <c r="L82" i="1"/>
  <c r="K82" i="1"/>
  <c r="E82" i="1" s="1"/>
  <c r="J82" i="1"/>
  <c r="I82" i="1"/>
  <c r="G82" i="1" s="1"/>
  <c r="F82" i="1"/>
  <c r="D82" i="1"/>
  <c r="R81" i="1"/>
  <c r="Q81" i="1"/>
  <c r="P81" i="1"/>
  <c r="O81" i="1"/>
  <c r="N81" i="1"/>
  <c r="E81" i="1" s="1"/>
  <c r="M81" i="1"/>
  <c r="L81" i="1"/>
  <c r="K81" i="1"/>
  <c r="J81" i="1"/>
  <c r="H81" i="1" s="1"/>
  <c r="I81" i="1"/>
  <c r="G81" i="1" s="1"/>
  <c r="F81" i="1"/>
  <c r="D81" i="1"/>
  <c r="S80" i="1"/>
  <c r="R80" i="1"/>
  <c r="T80" i="1" s="1"/>
  <c r="Q80" i="1"/>
  <c r="P80" i="1"/>
  <c r="O80" i="1"/>
  <c r="N80" i="1"/>
  <c r="M80" i="1"/>
  <c r="L80" i="1"/>
  <c r="K80" i="1"/>
  <c r="E80" i="1" s="1"/>
  <c r="J80" i="1"/>
  <c r="H80" i="1" s="1"/>
  <c r="I80" i="1"/>
  <c r="F80" i="1"/>
  <c r="D80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D79" i="1"/>
  <c r="T78" i="1"/>
  <c r="S78" i="1"/>
  <c r="R78" i="1"/>
  <c r="Q78" i="1"/>
  <c r="P78" i="1"/>
  <c r="O78" i="1"/>
  <c r="N78" i="1"/>
  <c r="M78" i="1"/>
  <c r="H78" i="1" s="1"/>
  <c r="L78" i="1"/>
  <c r="K78" i="1"/>
  <c r="J78" i="1"/>
  <c r="I78" i="1"/>
  <c r="G78" i="1" s="1"/>
  <c r="F78" i="1"/>
  <c r="E78" i="1"/>
  <c r="D78" i="1"/>
  <c r="R77" i="1"/>
  <c r="Q77" i="1"/>
  <c r="P77" i="1"/>
  <c r="O77" i="1"/>
  <c r="N77" i="1"/>
  <c r="E77" i="1" s="1"/>
  <c r="M77" i="1"/>
  <c r="L77" i="1"/>
  <c r="K77" i="1"/>
  <c r="J77" i="1"/>
  <c r="H77" i="1" s="1"/>
  <c r="I77" i="1"/>
  <c r="G77" i="1" s="1"/>
  <c r="F77" i="1"/>
  <c r="D77" i="1" s="1"/>
  <c r="S76" i="1"/>
  <c r="R76" i="1"/>
  <c r="T76" i="1" s="1"/>
  <c r="Q76" i="1"/>
  <c r="P76" i="1"/>
  <c r="O76" i="1"/>
  <c r="N76" i="1"/>
  <c r="M76" i="1"/>
  <c r="L76" i="1"/>
  <c r="K76" i="1"/>
  <c r="E76" i="1" s="1"/>
  <c r="J76" i="1"/>
  <c r="H76" i="1" s="1"/>
  <c r="I76" i="1"/>
  <c r="G76" i="1"/>
  <c r="F76" i="1"/>
  <c r="D76" i="1" s="1"/>
  <c r="T75" i="1"/>
  <c r="R75" i="1"/>
  <c r="S75" i="1" s="1"/>
  <c r="Q75" i="1"/>
  <c r="P75" i="1"/>
  <c r="O75" i="1"/>
  <c r="N75" i="1"/>
  <c r="M75" i="1"/>
  <c r="L75" i="1"/>
  <c r="K75" i="1"/>
  <c r="E75" i="1" s="1"/>
  <c r="J75" i="1"/>
  <c r="H75" i="1" s="1"/>
  <c r="I75" i="1"/>
  <c r="F75" i="1"/>
  <c r="D75" i="1"/>
  <c r="T74" i="1"/>
  <c r="S74" i="1"/>
  <c r="R74" i="1"/>
  <c r="Q74" i="1"/>
  <c r="E74" i="1" s="1"/>
  <c r="P74" i="1"/>
  <c r="O74" i="1"/>
  <c r="N74" i="1"/>
  <c r="M74" i="1"/>
  <c r="L74" i="1"/>
  <c r="K74" i="1"/>
  <c r="J74" i="1"/>
  <c r="I74" i="1"/>
  <c r="H74" i="1"/>
  <c r="F74" i="1"/>
  <c r="D74" i="1"/>
  <c r="T73" i="1"/>
  <c r="R73" i="1"/>
  <c r="S73" i="1" s="1"/>
  <c r="Q73" i="1"/>
  <c r="P73" i="1"/>
  <c r="O73" i="1"/>
  <c r="N73" i="1"/>
  <c r="E73" i="1" s="1"/>
  <c r="M73" i="1"/>
  <c r="L73" i="1"/>
  <c r="K73" i="1"/>
  <c r="J73" i="1"/>
  <c r="H73" i="1" s="1"/>
  <c r="I73" i="1"/>
  <c r="G73" i="1" s="1"/>
  <c r="F73" i="1"/>
  <c r="D73" i="1" s="1"/>
  <c r="R72" i="1"/>
  <c r="T72" i="1" s="1"/>
  <c r="Q72" i="1"/>
  <c r="P72" i="1"/>
  <c r="O72" i="1"/>
  <c r="N72" i="1"/>
  <c r="M72" i="1"/>
  <c r="L72" i="1"/>
  <c r="K72" i="1"/>
  <c r="E72" i="1" s="1"/>
  <c r="J72" i="1"/>
  <c r="I72" i="1"/>
  <c r="G72" i="1"/>
  <c r="F72" i="1"/>
  <c r="D72" i="1" s="1"/>
  <c r="T71" i="1"/>
  <c r="R71" i="1"/>
  <c r="S71" i="1" s="1"/>
  <c r="Q71" i="1"/>
  <c r="P71" i="1"/>
  <c r="O71" i="1"/>
  <c r="N71" i="1"/>
  <c r="M71" i="1"/>
  <c r="L71" i="1"/>
  <c r="G71" i="1" s="1"/>
  <c r="K71" i="1"/>
  <c r="E71" i="1" s="1"/>
  <c r="J71" i="1"/>
  <c r="I71" i="1"/>
  <c r="H71" i="1"/>
  <c r="F71" i="1"/>
  <c r="D71" i="1" s="1"/>
  <c r="S70" i="1"/>
  <c r="R70" i="1"/>
  <c r="T70" i="1" s="1"/>
  <c r="Q70" i="1"/>
  <c r="P70" i="1"/>
  <c r="O70" i="1"/>
  <c r="N70" i="1"/>
  <c r="M70" i="1"/>
  <c r="L70" i="1"/>
  <c r="K70" i="1"/>
  <c r="E70" i="1" s="1"/>
  <c r="J70" i="1"/>
  <c r="H70" i="1" s="1"/>
  <c r="I70" i="1"/>
  <c r="G70" i="1" s="1"/>
  <c r="F70" i="1"/>
  <c r="D70" i="1"/>
  <c r="R69" i="1"/>
  <c r="Q69" i="1"/>
  <c r="P69" i="1"/>
  <c r="O69" i="1"/>
  <c r="N69" i="1"/>
  <c r="E69" i="1" s="1"/>
  <c r="M69" i="1"/>
  <c r="L69" i="1"/>
  <c r="K69" i="1"/>
  <c r="J69" i="1"/>
  <c r="H69" i="1" s="1"/>
  <c r="I69" i="1"/>
  <c r="G69" i="1" s="1"/>
  <c r="F69" i="1"/>
  <c r="D69" i="1"/>
  <c r="S68" i="1"/>
  <c r="R68" i="1"/>
  <c r="T68" i="1" s="1"/>
  <c r="Q68" i="1"/>
  <c r="P68" i="1"/>
  <c r="O68" i="1"/>
  <c r="N68" i="1"/>
  <c r="M68" i="1"/>
  <c r="L68" i="1"/>
  <c r="K68" i="1"/>
  <c r="E68" i="1" s="1"/>
  <c r="J68" i="1"/>
  <c r="H68" i="1" s="1"/>
  <c r="I68" i="1"/>
  <c r="F68" i="1"/>
  <c r="D68" i="1"/>
  <c r="T67" i="1"/>
  <c r="S67" i="1"/>
  <c r="R67" i="1"/>
  <c r="Q67" i="1"/>
  <c r="P67" i="1"/>
  <c r="H67" i="1" s="1"/>
  <c r="O67" i="1"/>
  <c r="N67" i="1"/>
  <c r="M67" i="1"/>
  <c r="L67" i="1"/>
  <c r="K67" i="1"/>
  <c r="J67" i="1"/>
  <c r="I67" i="1"/>
  <c r="G67" i="1"/>
  <c r="F67" i="1"/>
  <c r="D67" i="1"/>
  <c r="T66" i="1"/>
  <c r="S66" i="1"/>
  <c r="R66" i="1"/>
  <c r="Q66" i="1"/>
  <c r="P66" i="1"/>
  <c r="O66" i="1"/>
  <c r="N66" i="1"/>
  <c r="M66" i="1"/>
  <c r="H66" i="1" s="1"/>
  <c r="L66" i="1"/>
  <c r="K66" i="1"/>
  <c r="J66" i="1"/>
  <c r="I66" i="1"/>
  <c r="G66" i="1" s="1"/>
  <c r="F66" i="1"/>
  <c r="E66" i="1"/>
  <c r="D66" i="1"/>
  <c r="R65" i="1"/>
  <c r="Q65" i="1"/>
  <c r="P65" i="1"/>
  <c r="O65" i="1"/>
  <c r="N65" i="1"/>
  <c r="M65" i="1"/>
  <c r="L65" i="1"/>
  <c r="G65" i="1" s="1"/>
  <c r="K65" i="1"/>
  <c r="J65" i="1"/>
  <c r="H65" i="1" s="1"/>
  <c r="I65" i="1"/>
  <c r="F65" i="1"/>
  <c r="D65" i="1" s="1"/>
  <c r="E65" i="1"/>
  <c r="S64" i="1"/>
  <c r="R64" i="1"/>
  <c r="T64" i="1" s="1"/>
  <c r="Q64" i="1"/>
  <c r="E64" i="1" s="1"/>
  <c r="P64" i="1"/>
  <c r="O64" i="1"/>
  <c r="N64" i="1"/>
  <c r="M64" i="1"/>
  <c r="L64" i="1"/>
  <c r="K64" i="1"/>
  <c r="J64" i="1"/>
  <c r="H64" i="1" s="1"/>
  <c r="I64" i="1"/>
  <c r="G64" i="1"/>
  <c r="F64" i="1"/>
  <c r="D64" i="1" s="1"/>
  <c r="T63" i="1"/>
  <c r="R63" i="1"/>
  <c r="S63" i="1" s="1"/>
  <c r="Q63" i="1"/>
  <c r="P63" i="1"/>
  <c r="O63" i="1"/>
  <c r="N63" i="1"/>
  <c r="M63" i="1"/>
  <c r="L63" i="1"/>
  <c r="K63" i="1"/>
  <c r="E63" i="1" s="1"/>
  <c r="J63" i="1"/>
  <c r="H63" i="1" s="1"/>
  <c r="I63" i="1"/>
  <c r="G63" i="1" s="1"/>
  <c r="F63" i="1"/>
  <c r="D63" i="1"/>
  <c r="T62" i="1"/>
  <c r="S62" i="1"/>
  <c r="R62" i="1"/>
  <c r="Q62" i="1"/>
  <c r="E62" i="1" s="1"/>
  <c r="P62" i="1"/>
  <c r="O62" i="1"/>
  <c r="N62" i="1"/>
  <c r="M62" i="1"/>
  <c r="L62" i="1"/>
  <c r="K62" i="1"/>
  <c r="J62" i="1"/>
  <c r="I62" i="1"/>
  <c r="G62" i="1" s="1"/>
  <c r="H62" i="1"/>
  <c r="F62" i="1"/>
  <c r="D62" i="1"/>
  <c r="T61" i="1"/>
  <c r="R61" i="1"/>
  <c r="S61" i="1" s="1"/>
  <c r="Q61" i="1"/>
  <c r="P61" i="1"/>
  <c r="O61" i="1"/>
  <c r="N61" i="1"/>
  <c r="E61" i="1" s="1"/>
  <c r="M61" i="1"/>
  <c r="L61" i="1"/>
  <c r="K61" i="1"/>
  <c r="J61" i="1"/>
  <c r="I61" i="1"/>
  <c r="G61" i="1" s="1"/>
  <c r="H61" i="1"/>
  <c r="F61" i="1"/>
  <c r="D61" i="1" s="1"/>
  <c r="R60" i="1"/>
  <c r="T60" i="1" s="1"/>
  <c r="Q60" i="1"/>
  <c r="P60" i="1"/>
  <c r="O60" i="1"/>
  <c r="G60" i="1" s="1"/>
  <c r="N60" i="1"/>
  <c r="M60" i="1"/>
  <c r="L60" i="1"/>
  <c r="K60" i="1"/>
  <c r="E60" i="1" s="1"/>
  <c r="J60" i="1"/>
  <c r="I60" i="1"/>
  <c r="F60" i="1"/>
  <c r="D60" i="1" s="1"/>
  <c r="R59" i="1"/>
  <c r="S59" i="1" s="1"/>
  <c r="Q59" i="1"/>
  <c r="P59" i="1"/>
  <c r="O59" i="1"/>
  <c r="N59" i="1"/>
  <c r="M59" i="1"/>
  <c r="L59" i="1"/>
  <c r="G59" i="1" s="1"/>
  <c r="K59" i="1"/>
  <c r="E59" i="1" s="1"/>
  <c r="J59" i="1"/>
  <c r="I59" i="1"/>
  <c r="H59" i="1"/>
  <c r="F59" i="1"/>
  <c r="D59" i="1" s="1"/>
  <c r="S58" i="1"/>
  <c r="R58" i="1"/>
  <c r="T58" i="1" s="1"/>
  <c r="Q58" i="1"/>
  <c r="E58" i="1" s="1"/>
  <c r="P58" i="1"/>
  <c r="O58" i="1"/>
  <c r="N58" i="1"/>
  <c r="M58" i="1"/>
  <c r="L58" i="1"/>
  <c r="K58" i="1"/>
  <c r="J58" i="1"/>
  <c r="H58" i="1" s="1"/>
  <c r="I58" i="1"/>
  <c r="G58" i="1" s="1"/>
  <c r="F58" i="1"/>
  <c r="D58" i="1"/>
  <c r="R57" i="1"/>
  <c r="Q57" i="1"/>
  <c r="P57" i="1"/>
  <c r="O57" i="1"/>
  <c r="N57" i="1"/>
  <c r="E57" i="1" s="1"/>
  <c r="M57" i="1"/>
  <c r="L57" i="1"/>
  <c r="K57" i="1"/>
  <c r="J57" i="1"/>
  <c r="I57" i="1"/>
  <c r="G57" i="1" s="1"/>
  <c r="F57" i="1"/>
  <c r="D57" i="1" s="1"/>
  <c r="S56" i="1"/>
  <c r="R56" i="1"/>
  <c r="T56" i="1" s="1"/>
  <c r="Q56" i="1"/>
  <c r="P56" i="1"/>
  <c r="O56" i="1"/>
  <c r="N56" i="1"/>
  <c r="M56" i="1"/>
  <c r="L56" i="1"/>
  <c r="K56" i="1"/>
  <c r="E56" i="1" s="1"/>
  <c r="J56" i="1"/>
  <c r="H56" i="1" s="1"/>
  <c r="I56" i="1"/>
  <c r="G56" i="1" s="1"/>
  <c r="F56" i="1"/>
  <c r="D56" i="1"/>
  <c r="T55" i="1"/>
  <c r="S55" i="1"/>
  <c r="R55" i="1"/>
  <c r="Q55" i="1"/>
  <c r="P55" i="1"/>
  <c r="O55" i="1"/>
  <c r="N55" i="1"/>
  <c r="M55" i="1"/>
  <c r="L55" i="1"/>
  <c r="K55" i="1"/>
  <c r="E55" i="1" s="1"/>
  <c r="J55" i="1"/>
  <c r="I55" i="1"/>
  <c r="H55" i="1"/>
  <c r="G55" i="1"/>
  <c r="F55" i="1"/>
  <c r="D55" i="1"/>
  <c r="T54" i="1"/>
  <c r="S54" i="1"/>
  <c r="R54" i="1"/>
  <c r="Q54" i="1"/>
  <c r="P54" i="1"/>
  <c r="O54" i="1"/>
  <c r="N54" i="1"/>
  <c r="M54" i="1"/>
  <c r="H54" i="1" s="1"/>
  <c r="L54" i="1"/>
  <c r="K54" i="1"/>
  <c r="J54" i="1"/>
  <c r="I54" i="1"/>
  <c r="G54" i="1" s="1"/>
  <c r="F54" i="1"/>
  <c r="E54" i="1"/>
  <c r="D54" i="1"/>
  <c r="R53" i="1"/>
  <c r="Q53" i="1"/>
  <c r="P53" i="1"/>
  <c r="O53" i="1"/>
  <c r="N53" i="1"/>
  <c r="E53" i="1" s="1"/>
  <c r="M53" i="1"/>
  <c r="L53" i="1"/>
  <c r="K53" i="1"/>
  <c r="J53" i="1"/>
  <c r="H53" i="1" s="1"/>
  <c r="I53" i="1"/>
  <c r="F53" i="1"/>
  <c r="D53" i="1" s="1"/>
  <c r="S52" i="1"/>
  <c r="R52" i="1"/>
  <c r="T52" i="1" s="1"/>
  <c r="Q52" i="1"/>
  <c r="P52" i="1"/>
  <c r="O52" i="1"/>
  <c r="N52" i="1"/>
  <c r="M52" i="1"/>
  <c r="L52" i="1"/>
  <c r="K52" i="1"/>
  <c r="J52" i="1"/>
  <c r="H52" i="1" s="1"/>
  <c r="I52" i="1"/>
  <c r="G52" i="1"/>
  <c r="F52" i="1"/>
  <c r="D52" i="1" s="1"/>
  <c r="E52" i="1"/>
  <c r="T51" i="1"/>
  <c r="R51" i="1"/>
  <c r="S51" i="1" s="1"/>
  <c r="Q51" i="1"/>
  <c r="P51" i="1"/>
  <c r="O51" i="1"/>
  <c r="N51" i="1"/>
  <c r="M51" i="1"/>
  <c r="L51" i="1"/>
  <c r="K51" i="1"/>
  <c r="E51" i="1" s="1"/>
  <c r="J51" i="1"/>
  <c r="I51" i="1"/>
  <c r="F51" i="1"/>
  <c r="D51" i="1"/>
  <c r="T50" i="1"/>
  <c r="S50" i="1"/>
  <c r="R50" i="1"/>
  <c r="Q50" i="1"/>
  <c r="E50" i="1" s="1"/>
  <c r="P50" i="1"/>
  <c r="O50" i="1"/>
  <c r="N50" i="1"/>
  <c r="M50" i="1"/>
  <c r="L50" i="1"/>
  <c r="K50" i="1"/>
  <c r="J50" i="1"/>
  <c r="I50" i="1"/>
  <c r="G50" i="1" s="1"/>
  <c r="H50" i="1"/>
  <c r="F50" i="1"/>
  <c r="D50" i="1"/>
  <c r="T49" i="1"/>
  <c r="R49" i="1"/>
  <c r="S49" i="1" s="1"/>
  <c r="Q49" i="1"/>
  <c r="P49" i="1"/>
  <c r="O49" i="1"/>
  <c r="N49" i="1"/>
  <c r="E49" i="1" s="1"/>
  <c r="M49" i="1"/>
  <c r="H49" i="1" s="1"/>
  <c r="L49" i="1"/>
  <c r="K49" i="1"/>
  <c r="J49" i="1"/>
  <c r="I49" i="1"/>
  <c r="G49" i="1" s="1"/>
  <c r="F49" i="1"/>
  <c r="D49" i="1" s="1"/>
  <c r="R48" i="1"/>
  <c r="T48" i="1" s="1"/>
  <c r="Q48" i="1"/>
  <c r="P48" i="1"/>
  <c r="O48" i="1"/>
  <c r="G48" i="1" s="1"/>
  <c r="N48" i="1"/>
  <c r="M48" i="1"/>
  <c r="L48" i="1"/>
  <c r="K48" i="1"/>
  <c r="E48" i="1" s="1"/>
  <c r="J48" i="1"/>
  <c r="I48" i="1"/>
  <c r="F48" i="1"/>
  <c r="D48" i="1" s="1"/>
  <c r="T47" i="1"/>
  <c r="R47" i="1"/>
  <c r="S47" i="1" s="1"/>
  <c r="Q47" i="1"/>
  <c r="P47" i="1"/>
  <c r="O47" i="1"/>
  <c r="N47" i="1"/>
  <c r="M47" i="1"/>
  <c r="L47" i="1"/>
  <c r="G47" i="1" s="1"/>
  <c r="K47" i="1"/>
  <c r="E47" i="1" s="1"/>
  <c r="J47" i="1"/>
  <c r="I47" i="1"/>
  <c r="H47" i="1"/>
  <c r="F47" i="1"/>
  <c r="D47" i="1" s="1"/>
  <c r="S46" i="1"/>
  <c r="R46" i="1"/>
  <c r="T46" i="1" s="1"/>
  <c r="Q46" i="1"/>
  <c r="P46" i="1"/>
  <c r="O46" i="1"/>
  <c r="N46" i="1"/>
  <c r="M46" i="1"/>
  <c r="L46" i="1"/>
  <c r="K46" i="1"/>
  <c r="E46" i="1" s="1"/>
  <c r="J46" i="1"/>
  <c r="I46" i="1"/>
  <c r="G46" i="1" s="1"/>
  <c r="F46" i="1"/>
  <c r="D46" i="1"/>
  <c r="R45" i="1"/>
  <c r="Q45" i="1"/>
  <c r="P45" i="1"/>
  <c r="O45" i="1"/>
  <c r="N45" i="1"/>
  <c r="E45" i="1" s="1"/>
  <c r="M45" i="1"/>
  <c r="L45" i="1"/>
  <c r="K45" i="1"/>
  <c r="J45" i="1"/>
  <c r="I45" i="1"/>
  <c r="G45" i="1" s="1"/>
  <c r="F45" i="1"/>
  <c r="D45" i="1" s="1"/>
  <c r="S44" i="1"/>
  <c r="R44" i="1"/>
  <c r="T44" i="1" s="1"/>
  <c r="Q44" i="1"/>
  <c r="P44" i="1"/>
  <c r="O44" i="1"/>
  <c r="N44" i="1"/>
  <c r="M44" i="1"/>
  <c r="L44" i="1"/>
  <c r="K44" i="1"/>
  <c r="J44" i="1"/>
  <c r="H44" i="1" s="1"/>
  <c r="I44" i="1"/>
  <c r="F44" i="1"/>
  <c r="D44" i="1"/>
  <c r="T43" i="1"/>
  <c r="S43" i="1"/>
  <c r="R43" i="1"/>
  <c r="Q43" i="1"/>
  <c r="P43" i="1"/>
  <c r="O43" i="1"/>
  <c r="N43" i="1"/>
  <c r="M43" i="1"/>
  <c r="L43" i="1"/>
  <c r="K43" i="1"/>
  <c r="E43" i="1" s="1"/>
  <c r="J43" i="1"/>
  <c r="I43" i="1"/>
  <c r="H43" i="1"/>
  <c r="G43" i="1"/>
  <c r="F43" i="1"/>
  <c r="D43" i="1"/>
  <c r="T42" i="1"/>
  <c r="S42" i="1"/>
  <c r="R42" i="1"/>
  <c r="Q42" i="1"/>
  <c r="E42" i="1" s="1"/>
  <c r="P42" i="1"/>
  <c r="O42" i="1"/>
  <c r="N42" i="1"/>
  <c r="M42" i="1"/>
  <c r="H42" i="1" s="1"/>
  <c r="L42" i="1"/>
  <c r="K42" i="1"/>
  <c r="J42" i="1"/>
  <c r="I42" i="1"/>
  <c r="G42" i="1" s="1"/>
  <c r="F42" i="1"/>
  <c r="D42" i="1"/>
  <c r="R41" i="1"/>
  <c r="Q41" i="1"/>
  <c r="P41" i="1"/>
  <c r="O41" i="1"/>
  <c r="N41" i="1"/>
  <c r="E41" i="1" s="1"/>
  <c r="M41" i="1"/>
  <c r="L41" i="1"/>
  <c r="K41" i="1"/>
  <c r="J41" i="1"/>
  <c r="H41" i="1" s="1"/>
  <c r="I41" i="1"/>
  <c r="F41" i="1"/>
  <c r="D41" i="1"/>
  <c r="S40" i="1"/>
  <c r="R40" i="1"/>
  <c r="T40" i="1" s="1"/>
  <c r="Q40" i="1"/>
  <c r="P40" i="1"/>
  <c r="O40" i="1"/>
  <c r="N40" i="1"/>
  <c r="M40" i="1"/>
  <c r="L40" i="1"/>
  <c r="K40" i="1"/>
  <c r="E40" i="1" s="1"/>
  <c r="J40" i="1"/>
  <c r="H40" i="1" s="1"/>
  <c r="I40" i="1"/>
  <c r="G40" i="1"/>
  <c r="F40" i="1"/>
  <c r="D40" i="1" s="1"/>
  <c r="T39" i="1"/>
  <c r="R39" i="1"/>
  <c r="S39" i="1" s="1"/>
  <c r="Q39" i="1"/>
  <c r="P39" i="1"/>
  <c r="O39" i="1"/>
  <c r="N39" i="1"/>
  <c r="M39" i="1"/>
  <c r="L39" i="1"/>
  <c r="K39" i="1"/>
  <c r="J39" i="1"/>
  <c r="H39" i="1" s="1"/>
  <c r="I39" i="1"/>
  <c r="F39" i="1"/>
  <c r="D39" i="1"/>
  <c r="T38" i="1"/>
  <c r="S38" i="1"/>
  <c r="R38" i="1"/>
  <c r="Q38" i="1"/>
  <c r="P38" i="1"/>
  <c r="O38" i="1"/>
  <c r="N38" i="1"/>
  <c r="M38" i="1"/>
  <c r="H38" i="1" s="1"/>
  <c r="L38" i="1"/>
  <c r="K38" i="1"/>
  <c r="J38" i="1"/>
  <c r="I38" i="1"/>
  <c r="G38" i="1"/>
  <c r="F38" i="1"/>
  <c r="E38" i="1"/>
  <c r="D38" i="1"/>
  <c r="R37" i="1"/>
  <c r="S37" i="1" s="1"/>
  <c r="Q37" i="1"/>
  <c r="P37" i="1"/>
  <c r="O37" i="1"/>
  <c r="N37" i="1"/>
  <c r="E37" i="1" s="1"/>
  <c r="M37" i="1"/>
  <c r="L37" i="1"/>
  <c r="K37" i="1"/>
  <c r="J37" i="1"/>
  <c r="H37" i="1" s="1"/>
  <c r="I37" i="1"/>
  <c r="G37" i="1" s="1"/>
  <c r="F37" i="1"/>
  <c r="D37" i="1"/>
  <c r="S36" i="1"/>
  <c r="R36" i="1"/>
  <c r="T36" i="1" s="1"/>
  <c r="Q36" i="1"/>
  <c r="P36" i="1"/>
  <c r="O36" i="1"/>
  <c r="G36" i="1" s="1"/>
  <c r="N36" i="1"/>
  <c r="M36" i="1"/>
  <c r="L36" i="1"/>
  <c r="K36" i="1"/>
  <c r="E36" i="1" s="1"/>
  <c r="J36" i="1"/>
  <c r="I36" i="1"/>
  <c r="F36" i="1"/>
  <c r="D36" i="1" s="1"/>
  <c r="R35" i="1"/>
  <c r="T35" i="1" s="1"/>
  <c r="Q35" i="1"/>
  <c r="P35" i="1"/>
  <c r="O35" i="1"/>
  <c r="N35" i="1"/>
  <c r="M35" i="1"/>
  <c r="L35" i="1"/>
  <c r="K35" i="1"/>
  <c r="J35" i="1"/>
  <c r="H35" i="1" s="1"/>
  <c r="I35" i="1"/>
  <c r="G35" i="1"/>
  <c r="F35" i="1"/>
  <c r="D35" i="1" s="1"/>
  <c r="S34" i="1"/>
  <c r="R34" i="1"/>
  <c r="T34" i="1" s="1"/>
  <c r="Q34" i="1"/>
  <c r="E34" i="1" s="1"/>
  <c r="P34" i="1"/>
  <c r="O34" i="1"/>
  <c r="N34" i="1"/>
  <c r="M34" i="1"/>
  <c r="L34" i="1"/>
  <c r="K34" i="1"/>
  <c r="J34" i="1"/>
  <c r="I34" i="1"/>
  <c r="G34" i="1" s="1"/>
  <c r="F34" i="1"/>
  <c r="D34" i="1"/>
  <c r="T33" i="1"/>
  <c r="R33" i="1"/>
  <c r="S33" i="1" s="1"/>
  <c r="Q33" i="1"/>
  <c r="P33" i="1"/>
  <c r="O33" i="1"/>
  <c r="N33" i="1"/>
  <c r="M33" i="1"/>
  <c r="L33" i="1"/>
  <c r="K33" i="1"/>
  <c r="E33" i="1" s="1"/>
  <c r="J33" i="1"/>
  <c r="H33" i="1" s="1"/>
  <c r="I33" i="1"/>
  <c r="G33" i="1" s="1"/>
  <c r="F33" i="1"/>
  <c r="D33" i="1"/>
  <c r="T32" i="1"/>
  <c r="R32" i="1"/>
  <c r="S32" i="1" s="1"/>
  <c r="Q32" i="1"/>
  <c r="P32" i="1"/>
  <c r="O32" i="1"/>
  <c r="N32" i="1"/>
  <c r="M32" i="1"/>
  <c r="H32" i="1" s="1"/>
  <c r="L32" i="1"/>
  <c r="K32" i="1"/>
  <c r="J32" i="1"/>
  <c r="I32" i="1"/>
  <c r="G32" i="1" s="1"/>
  <c r="F32" i="1"/>
  <c r="E32" i="1"/>
  <c r="D32" i="1"/>
  <c r="T31" i="1"/>
  <c r="R31" i="1"/>
  <c r="S31" i="1" s="1"/>
  <c r="Q31" i="1"/>
  <c r="P31" i="1"/>
  <c r="O31" i="1"/>
  <c r="N31" i="1"/>
  <c r="E31" i="1" s="1"/>
  <c r="M31" i="1"/>
  <c r="L31" i="1"/>
  <c r="K31" i="1"/>
  <c r="J31" i="1"/>
  <c r="I31" i="1"/>
  <c r="H31" i="1"/>
  <c r="G31" i="1"/>
  <c r="F31" i="1"/>
  <c r="D31" i="1" s="1"/>
  <c r="S30" i="1"/>
  <c r="R30" i="1"/>
  <c r="T30" i="1" s="1"/>
  <c r="Q30" i="1"/>
  <c r="P30" i="1"/>
  <c r="O30" i="1"/>
  <c r="G30" i="1" s="1"/>
  <c r="N30" i="1"/>
  <c r="M30" i="1"/>
  <c r="L30" i="1"/>
  <c r="K30" i="1"/>
  <c r="E30" i="1" s="1"/>
  <c r="J30" i="1"/>
  <c r="H30" i="1" s="1"/>
  <c r="I30" i="1"/>
  <c r="F30" i="1"/>
  <c r="D30" i="1" s="1"/>
  <c r="R29" i="1"/>
  <c r="T29" i="1" s="1"/>
  <c r="Q29" i="1"/>
  <c r="P29" i="1"/>
  <c r="O29" i="1"/>
  <c r="N29" i="1"/>
  <c r="M29" i="1"/>
  <c r="L29" i="1"/>
  <c r="K29" i="1"/>
  <c r="J29" i="1"/>
  <c r="I29" i="1"/>
  <c r="G29" i="1" s="1"/>
  <c r="H29" i="1"/>
  <c r="F29" i="1"/>
  <c r="D29" i="1" s="1"/>
  <c r="E29" i="1"/>
  <c r="T28" i="1"/>
  <c r="S28" i="1"/>
  <c r="R28" i="1"/>
  <c r="Q28" i="1"/>
  <c r="P28" i="1"/>
  <c r="O28" i="1"/>
  <c r="N28" i="1"/>
  <c r="M28" i="1"/>
  <c r="L28" i="1"/>
  <c r="K28" i="1"/>
  <c r="E28" i="1" s="1"/>
  <c r="J28" i="1"/>
  <c r="H28" i="1" s="1"/>
  <c r="I28" i="1"/>
  <c r="G28" i="1" s="1"/>
  <c r="F28" i="1"/>
  <c r="D28" i="1"/>
  <c r="R27" i="1"/>
  <c r="T27" i="1" s="1"/>
  <c r="Q27" i="1"/>
  <c r="P27" i="1"/>
  <c r="O27" i="1"/>
  <c r="N27" i="1"/>
  <c r="M27" i="1"/>
  <c r="L27" i="1"/>
  <c r="K27" i="1"/>
  <c r="E27" i="1" s="1"/>
  <c r="J27" i="1"/>
  <c r="H27" i="1" s="1"/>
  <c r="I27" i="1"/>
  <c r="G27" i="1" s="1"/>
  <c r="F27" i="1"/>
  <c r="D27" i="1"/>
  <c r="T26" i="1"/>
  <c r="S26" i="1"/>
  <c r="R26" i="1"/>
  <c r="Q26" i="1"/>
  <c r="P26" i="1"/>
  <c r="O26" i="1"/>
  <c r="N26" i="1"/>
  <c r="M26" i="1"/>
  <c r="L26" i="1"/>
  <c r="K26" i="1"/>
  <c r="E26" i="1" s="1"/>
  <c r="J26" i="1"/>
  <c r="I26" i="1"/>
  <c r="G26" i="1" s="1"/>
  <c r="H26" i="1"/>
  <c r="F26" i="1"/>
  <c r="D26" i="1" s="1"/>
  <c r="T25" i="1"/>
  <c r="S25" i="1"/>
  <c r="R25" i="1"/>
  <c r="Q25" i="1"/>
  <c r="P25" i="1"/>
  <c r="H25" i="1" s="1"/>
  <c r="O25" i="1"/>
  <c r="N25" i="1"/>
  <c r="M25" i="1"/>
  <c r="L25" i="1"/>
  <c r="G25" i="1" s="1"/>
  <c r="K25" i="1"/>
  <c r="E25" i="1" s="1"/>
  <c r="J25" i="1"/>
  <c r="I25" i="1"/>
  <c r="F25" i="1"/>
  <c r="D25" i="1"/>
  <c r="S24" i="1"/>
  <c r="R24" i="1"/>
  <c r="T24" i="1" s="1"/>
  <c r="Q24" i="1"/>
  <c r="P24" i="1"/>
  <c r="O24" i="1"/>
  <c r="N24" i="1"/>
  <c r="M24" i="1"/>
  <c r="L24" i="1"/>
  <c r="K24" i="1"/>
  <c r="J24" i="1"/>
  <c r="H24" i="1" s="1"/>
  <c r="I24" i="1"/>
  <c r="G24" i="1"/>
  <c r="F24" i="1"/>
  <c r="D24" i="1" s="1"/>
  <c r="E24" i="1"/>
  <c r="R23" i="1"/>
  <c r="T23" i="1" s="1"/>
  <c r="Q23" i="1"/>
  <c r="P23" i="1"/>
  <c r="O23" i="1"/>
  <c r="N23" i="1"/>
  <c r="M23" i="1"/>
  <c r="L23" i="1"/>
  <c r="K23" i="1"/>
  <c r="E23" i="1" s="1"/>
  <c r="J23" i="1"/>
  <c r="H23" i="1" s="1"/>
  <c r="I23" i="1"/>
  <c r="G23" i="1" s="1"/>
  <c r="F23" i="1"/>
  <c r="D23" i="1" s="1"/>
  <c r="S22" i="1"/>
  <c r="R22" i="1"/>
  <c r="T22" i="1" s="1"/>
  <c r="Q22" i="1"/>
  <c r="E22" i="1" s="1"/>
  <c r="P22" i="1"/>
  <c r="O22" i="1"/>
  <c r="N22" i="1"/>
  <c r="M22" i="1"/>
  <c r="L22" i="1"/>
  <c r="K22" i="1"/>
  <c r="J22" i="1"/>
  <c r="H22" i="1" s="1"/>
  <c r="I22" i="1"/>
  <c r="G22" i="1"/>
  <c r="F22" i="1"/>
  <c r="D22" i="1"/>
  <c r="T21" i="1"/>
  <c r="S21" i="1"/>
  <c r="R21" i="1"/>
  <c r="Q21" i="1"/>
  <c r="P21" i="1"/>
  <c r="O21" i="1"/>
  <c r="N21" i="1"/>
  <c r="M21" i="1"/>
  <c r="L21" i="1"/>
  <c r="K21" i="1"/>
  <c r="E21" i="1" s="1"/>
  <c r="J21" i="1"/>
  <c r="H21" i="1" s="1"/>
  <c r="I21" i="1"/>
  <c r="G21" i="1" s="1"/>
  <c r="F21" i="1"/>
  <c r="D21" i="1"/>
  <c r="T20" i="1"/>
  <c r="R20" i="1"/>
  <c r="S20" i="1" s="1"/>
  <c r="Q20" i="1"/>
  <c r="P20" i="1"/>
  <c r="O20" i="1"/>
  <c r="N20" i="1"/>
  <c r="M20" i="1"/>
  <c r="H20" i="1" s="1"/>
  <c r="L20" i="1"/>
  <c r="K20" i="1"/>
  <c r="J20" i="1"/>
  <c r="I20" i="1"/>
  <c r="G20" i="1" s="1"/>
  <c r="F20" i="1"/>
  <c r="E20" i="1"/>
  <c r="D20" i="1"/>
  <c r="T19" i="1"/>
  <c r="R19" i="1"/>
  <c r="S19" i="1" s="1"/>
  <c r="Q19" i="1"/>
  <c r="P19" i="1"/>
  <c r="O19" i="1"/>
  <c r="N19" i="1"/>
  <c r="E19" i="1" s="1"/>
  <c r="M19" i="1"/>
  <c r="L19" i="1"/>
  <c r="K19" i="1"/>
  <c r="J19" i="1"/>
  <c r="I19" i="1"/>
  <c r="H19" i="1"/>
  <c r="G19" i="1"/>
  <c r="F19" i="1"/>
  <c r="D19" i="1" s="1"/>
  <c r="S18" i="1"/>
  <c r="R18" i="1"/>
  <c r="T18" i="1" s="1"/>
  <c r="Q18" i="1"/>
  <c r="P18" i="1"/>
  <c r="O18" i="1"/>
  <c r="G18" i="1" s="1"/>
  <c r="N18" i="1"/>
  <c r="M18" i="1"/>
  <c r="L18" i="1"/>
  <c r="K18" i="1"/>
  <c r="E18" i="1" s="1"/>
  <c r="J18" i="1"/>
  <c r="H18" i="1" s="1"/>
  <c r="I18" i="1"/>
  <c r="F18" i="1"/>
  <c r="D18" i="1" s="1"/>
  <c r="R17" i="1"/>
  <c r="T17" i="1" s="1"/>
  <c r="Q17" i="1"/>
  <c r="P17" i="1"/>
  <c r="O17" i="1"/>
  <c r="N17" i="1"/>
  <c r="M17" i="1"/>
  <c r="L17" i="1"/>
  <c r="K17" i="1"/>
  <c r="J17" i="1"/>
  <c r="I17" i="1"/>
  <c r="G17" i="1" s="1"/>
  <c r="H17" i="1"/>
  <c r="F17" i="1"/>
  <c r="D17" i="1" s="1"/>
  <c r="E17" i="1"/>
  <c r="T16" i="1"/>
  <c r="S16" i="1"/>
  <c r="R16" i="1"/>
  <c r="Q16" i="1"/>
  <c r="P16" i="1"/>
  <c r="O16" i="1"/>
  <c r="N16" i="1"/>
  <c r="M16" i="1"/>
  <c r="L16" i="1"/>
  <c r="K16" i="1"/>
  <c r="E16" i="1" s="1"/>
  <c r="J16" i="1"/>
  <c r="H16" i="1" s="1"/>
  <c r="I16" i="1"/>
  <c r="G16" i="1" s="1"/>
  <c r="F16" i="1"/>
  <c r="D16" i="1"/>
  <c r="R15" i="1"/>
  <c r="T15" i="1" s="1"/>
  <c r="Q15" i="1"/>
  <c r="P15" i="1"/>
  <c r="O15" i="1"/>
  <c r="N15" i="1"/>
  <c r="M15" i="1"/>
  <c r="L15" i="1"/>
  <c r="K15" i="1"/>
  <c r="E15" i="1" s="1"/>
  <c r="J15" i="1"/>
  <c r="H15" i="1" s="1"/>
  <c r="I15" i="1"/>
  <c r="G15" i="1" s="1"/>
  <c r="F15" i="1"/>
  <c r="D15" i="1"/>
  <c r="T14" i="1"/>
  <c r="S14" i="1"/>
  <c r="R14" i="1"/>
  <c r="Q14" i="1"/>
  <c r="P14" i="1"/>
  <c r="O14" i="1"/>
  <c r="N14" i="1"/>
  <c r="M14" i="1"/>
  <c r="L14" i="1"/>
  <c r="K14" i="1"/>
  <c r="E14" i="1" s="1"/>
  <c r="J14" i="1"/>
  <c r="I14" i="1"/>
  <c r="G14" i="1" s="1"/>
  <c r="H14" i="1"/>
  <c r="F14" i="1"/>
  <c r="D14" i="1" s="1"/>
  <c r="T13" i="1"/>
  <c r="S13" i="1"/>
  <c r="R13" i="1"/>
  <c r="Q13" i="1"/>
  <c r="P13" i="1"/>
  <c r="O13" i="1"/>
  <c r="N13" i="1"/>
  <c r="M13" i="1"/>
  <c r="H13" i="1" s="1"/>
  <c r="L13" i="1"/>
  <c r="G13" i="1" s="1"/>
  <c r="K13" i="1"/>
  <c r="E13" i="1" s="1"/>
  <c r="J13" i="1"/>
  <c r="I13" i="1"/>
  <c r="F13" i="1"/>
  <c r="D13" i="1"/>
  <c r="S12" i="1"/>
  <c r="R12" i="1"/>
  <c r="T12" i="1" s="1"/>
  <c r="Q12" i="1"/>
  <c r="P12" i="1"/>
  <c r="O12" i="1"/>
  <c r="N12" i="1"/>
  <c r="M12" i="1"/>
  <c r="L12" i="1"/>
  <c r="K12" i="1"/>
  <c r="J12" i="1"/>
  <c r="H12" i="1" s="1"/>
  <c r="I12" i="1"/>
  <c r="G12" i="1"/>
  <c r="F12" i="1"/>
  <c r="D12" i="1" s="1"/>
  <c r="E12" i="1"/>
  <c r="R11" i="1"/>
  <c r="T11" i="1" s="1"/>
  <c r="Q11" i="1"/>
  <c r="P11" i="1"/>
  <c r="O11" i="1"/>
  <c r="N11" i="1"/>
  <c r="M11" i="1"/>
  <c r="L11" i="1"/>
  <c r="K11" i="1"/>
  <c r="E11" i="1" s="1"/>
  <c r="J11" i="1"/>
  <c r="H11" i="1" s="1"/>
  <c r="I11" i="1"/>
  <c r="G11" i="1" s="1"/>
  <c r="F11" i="1"/>
  <c r="D11" i="1" s="1"/>
  <c r="T10" i="1"/>
  <c r="S10" i="1"/>
  <c r="R10" i="1"/>
  <c r="Q10" i="1"/>
  <c r="E10" i="1" s="1"/>
  <c r="P10" i="1"/>
  <c r="O10" i="1"/>
  <c r="N10" i="1"/>
  <c r="M10" i="1"/>
  <c r="L10" i="1"/>
  <c r="K10" i="1"/>
  <c r="J10" i="1"/>
  <c r="H10" i="1" s="1"/>
  <c r="I10" i="1"/>
  <c r="G10" i="1"/>
  <c r="F10" i="1"/>
  <c r="D10" i="1"/>
  <c r="T9" i="1"/>
  <c r="S9" i="1"/>
  <c r="R9" i="1"/>
  <c r="Q9" i="1"/>
  <c r="P9" i="1"/>
  <c r="O9" i="1"/>
  <c r="N9" i="1"/>
  <c r="M9" i="1"/>
  <c r="L9" i="1"/>
  <c r="K9" i="1"/>
  <c r="E9" i="1" s="1"/>
  <c r="J9" i="1"/>
  <c r="H9" i="1" s="1"/>
  <c r="I9" i="1"/>
  <c r="G9" i="1" s="1"/>
  <c r="F9" i="1"/>
  <c r="D9" i="1"/>
  <c r="T8" i="1"/>
  <c r="R8" i="1"/>
  <c r="S8" i="1" s="1"/>
  <c r="Q8" i="1"/>
  <c r="P8" i="1"/>
  <c r="O8" i="1"/>
  <c r="N8" i="1"/>
  <c r="M8" i="1"/>
  <c r="H8" i="1" s="1"/>
  <c r="L8" i="1"/>
  <c r="K8" i="1"/>
  <c r="J8" i="1"/>
  <c r="I8" i="1"/>
  <c r="G8" i="1" s="1"/>
  <c r="F8" i="1"/>
  <c r="E8" i="1"/>
  <c r="D8" i="1"/>
  <c r="T7" i="1"/>
  <c r="S7" i="1"/>
  <c r="R7" i="1"/>
  <c r="Q7" i="1"/>
  <c r="P7" i="1"/>
  <c r="O7" i="1"/>
  <c r="N7" i="1"/>
  <c r="E7" i="1" s="1"/>
  <c r="M7" i="1"/>
  <c r="L7" i="1"/>
  <c r="K7" i="1"/>
  <c r="J7" i="1"/>
  <c r="I7" i="1"/>
  <c r="H7" i="1"/>
  <c r="G7" i="1"/>
  <c r="F7" i="1"/>
  <c r="D7" i="1" s="1"/>
  <c r="S6" i="1"/>
  <c r="R6" i="1"/>
  <c r="T6" i="1" s="1"/>
  <c r="Q6" i="1"/>
  <c r="P6" i="1"/>
  <c r="O6" i="1"/>
  <c r="N6" i="1"/>
  <c r="M6" i="1"/>
  <c r="L6" i="1"/>
  <c r="G6" i="1" s="1"/>
  <c r="K6" i="1"/>
  <c r="E6" i="1" s="1"/>
  <c r="J6" i="1"/>
  <c r="H6" i="1" s="1"/>
  <c r="I6" i="1"/>
  <c r="F6" i="1"/>
  <c r="D6" i="1" s="1"/>
  <c r="R5" i="1"/>
  <c r="T5" i="1" s="1"/>
  <c r="Q5" i="1"/>
  <c r="P5" i="1"/>
  <c r="O5" i="1"/>
  <c r="N5" i="1"/>
  <c r="M5" i="1"/>
  <c r="L5" i="1"/>
  <c r="K5" i="1"/>
  <c r="J5" i="1"/>
  <c r="I5" i="1"/>
  <c r="G5" i="1" s="1"/>
  <c r="H5" i="1"/>
  <c r="F5" i="1"/>
  <c r="D5" i="1" s="1"/>
  <c r="E5" i="1"/>
  <c r="T4" i="1"/>
  <c r="S4" i="1"/>
  <c r="R4" i="1"/>
  <c r="Q4" i="1"/>
  <c r="P4" i="1"/>
  <c r="O4" i="1"/>
  <c r="N4" i="1"/>
  <c r="M4" i="1"/>
  <c r="L4" i="1"/>
  <c r="K4" i="1"/>
  <c r="E4" i="1" s="1"/>
  <c r="J4" i="1"/>
  <c r="H4" i="1" s="1"/>
  <c r="I4" i="1"/>
  <c r="G4" i="1" s="1"/>
  <c r="F4" i="1"/>
  <c r="D4" i="1"/>
  <c r="R3" i="1"/>
  <c r="T3" i="1" s="1"/>
  <c r="Q3" i="1"/>
  <c r="P3" i="1"/>
  <c r="O3" i="1"/>
  <c r="N3" i="1"/>
  <c r="E3" i="1" s="1"/>
  <c r="M3" i="1"/>
  <c r="L3" i="1"/>
  <c r="K3" i="1"/>
  <c r="J3" i="1"/>
  <c r="H3" i="1" s="1"/>
  <c r="I3" i="1"/>
  <c r="G3" i="1" s="1"/>
  <c r="F3" i="1"/>
  <c r="D3" i="1"/>
  <c r="T2" i="1"/>
  <c r="S2" i="1"/>
  <c r="R2" i="1"/>
  <c r="Q2" i="1"/>
  <c r="P2" i="1"/>
  <c r="O2" i="1"/>
  <c r="N2" i="1"/>
  <c r="M2" i="1"/>
  <c r="L2" i="1"/>
  <c r="K2" i="1"/>
  <c r="E2" i="1" s="1"/>
  <c r="J2" i="1"/>
  <c r="I2" i="1"/>
  <c r="G2" i="1" s="1"/>
  <c r="H2" i="1"/>
  <c r="F2" i="1"/>
  <c r="D2" i="1" s="1"/>
  <c r="T185" i="1" l="1"/>
  <c r="S185" i="1"/>
  <c r="S5" i="1"/>
  <c r="S17" i="1"/>
  <c r="S29" i="1"/>
  <c r="S72" i="1"/>
  <c r="T107" i="1"/>
  <c r="S107" i="1"/>
  <c r="H159" i="1"/>
  <c r="S168" i="1"/>
  <c r="H166" i="1"/>
  <c r="H190" i="1"/>
  <c r="H193" i="1"/>
  <c r="S3" i="1"/>
  <c r="S15" i="1"/>
  <c r="S27" i="1"/>
  <c r="H34" i="1"/>
  <c r="S35" i="1"/>
  <c r="T45" i="1"/>
  <c r="S45" i="1"/>
  <c r="G51" i="1"/>
  <c r="T53" i="1"/>
  <c r="S53" i="1"/>
  <c r="T59" i="1"/>
  <c r="T93" i="1"/>
  <c r="S93" i="1"/>
  <c r="G99" i="1"/>
  <c r="T101" i="1"/>
  <c r="S101" i="1"/>
  <c r="G122" i="1"/>
  <c r="H51" i="1"/>
  <c r="H57" i="1"/>
  <c r="S60" i="1"/>
  <c r="H72" i="1"/>
  <c r="G86" i="1"/>
  <c r="H99" i="1"/>
  <c r="H105" i="1"/>
  <c r="G128" i="1"/>
  <c r="S132" i="1"/>
  <c r="G162" i="1"/>
  <c r="H169" i="1"/>
  <c r="G186" i="1"/>
  <c r="T57" i="1"/>
  <c r="S57" i="1"/>
  <c r="G39" i="1"/>
  <c r="G44" i="1"/>
  <c r="T197" i="1"/>
  <c r="S197" i="1"/>
  <c r="T41" i="1"/>
  <c r="S41" i="1"/>
  <c r="G53" i="1"/>
  <c r="T81" i="1"/>
  <c r="S81" i="1"/>
  <c r="G87" i="1"/>
  <c r="T89" i="1"/>
  <c r="S89" i="1"/>
  <c r="H123" i="1"/>
  <c r="T125" i="1"/>
  <c r="S125" i="1"/>
  <c r="G147" i="1"/>
  <c r="T149" i="1"/>
  <c r="S149" i="1"/>
  <c r="H154" i="1"/>
  <c r="E176" i="1"/>
  <c r="S180" i="1"/>
  <c r="T161" i="1"/>
  <c r="S161" i="1"/>
  <c r="S11" i="1"/>
  <c r="S23" i="1"/>
  <c r="E35" i="1"/>
  <c r="E39" i="1"/>
  <c r="E44" i="1"/>
  <c r="H45" i="1"/>
  <c r="S48" i="1"/>
  <c r="H60" i="1"/>
  <c r="G74" i="1"/>
  <c r="H87" i="1"/>
  <c r="E92" i="1"/>
  <c r="H93" i="1"/>
  <c r="S96" i="1"/>
  <c r="H130" i="1"/>
  <c r="H147" i="1"/>
  <c r="G171" i="1"/>
  <c r="T173" i="1"/>
  <c r="S173" i="1"/>
  <c r="T65" i="1"/>
  <c r="S65" i="1"/>
  <c r="T37" i="1"/>
  <c r="H46" i="1"/>
  <c r="E79" i="1"/>
  <c r="G80" i="1"/>
  <c r="H94" i="1"/>
  <c r="G110" i="1"/>
  <c r="T119" i="1"/>
  <c r="S119" i="1"/>
  <c r="H36" i="1"/>
  <c r="G41" i="1"/>
  <c r="T69" i="1"/>
  <c r="S69" i="1"/>
  <c r="G75" i="1"/>
  <c r="T77" i="1"/>
  <c r="S77" i="1"/>
  <c r="E115" i="1"/>
  <c r="G140" i="1"/>
  <c r="E157" i="1"/>
  <c r="H178" i="1"/>
  <c r="H181" i="1"/>
  <c r="G198" i="1"/>
  <c r="H48" i="1"/>
  <c r="S84" i="1"/>
  <c r="T113" i="1"/>
  <c r="S113" i="1"/>
  <c r="E67" i="1"/>
  <c r="G68" i="1"/>
  <c r="H82" i="1"/>
  <c r="H111" i="1"/>
  <c r="E116" i="1"/>
  <c r="H117" i="1"/>
  <c r="G135" i="1"/>
  <c r="T137" i="1"/>
  <c r="S137" i="1"/>
  <c r="E140" i="1"/>
  <c r="S144" i="1"/>
  <c r="E164" i="1"/>
  <c r="G174" i="1"/>
  <c r="E188" i="1"/>
  <c r="S106" i="1"/>
  <c r="S118" i="1"/>
  <c r="S130" i="1"/>
  <c r="S178" i="1"/>
  <c r="S190" i="1"/>
  <c r="S200" i="1"/>
  <c r="S169" i="1"/>
  <c r="S181" i="1"/>
  <c r="S193" i="1"/>
  <c r="S131" i="1"/>
  <c r="S143" i="1"/>
  <c r="S155" i="1"/>
  <c r="S105" i="1"/>
  <c r="S117" i="1"/>
  <c r="S129" i="1"/>
  <c r="S141" i="1"/>
  <c r="S153" i="1"/>
  <c r="S165" i="1"/>
  <c r="S177" i="1"/>
  <c r="S189" i="1"/>
  <c r="S201" i="1"/>
</calcChain>
</file>

<file path=xl/sharedStrings.xml><?xml version="1.0" encoding="utf-8"?>
<sst xmlns="http://schemas.openxmlformats.org/spreadsheetml/2006/main" count="620" uniqueCount="225">
  <si>
    <t>Student Name</t>
  </si>
  <si>
    <t>Class</t>
  </si>
  <si>
    <t>Group</t>
  </si>
  <si>
    <t>Total Questions</t>
  </si>
  <si>
    <t>Total Time (sec)</t>
  </si>
  <si>
    <t>Questions Attempted</t>
  </si>
  <si>
    <t>Total Correct</t>
  </si>
  <si>
    <t>Total Wrong</t>
  </si>
  <si>
    <t>High Difficulty - Correct</t>
  </si>
  <si>
    <t>High Difficulty - Wrong</t>
  </si>
  <si>
    <t>High Difficulty - Time (s)</t>
  </si>
  <si>
    <t>Medium Difficulty - Correct</t>
  </si>
  <si>
    <t>Medium Difficulty - Wrong</t>
  </si>
  <si>
    <t>Medium Difficulty - Time (s)</t>
  </si>
  <si>
    <t>Low Difficulty - Correct</t>
  </si>
  <si>
    <t>Low Difficulty - Wrong</t>
  </si>
  <si>
    <t>Low Difficulty - Time (s)</t>
  </si>
  <si>
    <t>Total Reward</t>
  </si>
  <si>
    <t>Medal</t>
  </si>
  <si>
    <t>Mark out of 100</t>
  </si>
  <si>
    <t>Aarav Sharma</t>
  </si>
  <si>
    <t>11</t>
  </si>
  <si>
    <t>Mathematics-Biology</t>
  </si>
  <si>
    <t>Ananya Patel</t>
  </si>
  <si>
    <t>Arjun Kumar</t>
  </si>
  <si>
    <t>Diya Singh</t>
  </si>
  <si>
    <t>Aditya Verma</t>
  </si>
  <si>
    <t>Priya Nair</t>
  </si>
  <si>
    <t>Rahul Das</t>
  </si>
  <si>
    <t>Sneha Reddy</t>
  </si>
  <si>
    <t>Vikram Menon</t>
  </si>
  <si>
    <t>Kavya Iyer</t>
  </si>
  <si>
    <t>Rohan Gupta</t>
  </si>
  <si>
    <t>Meera Krishnan</t>
  </si>
  <si>
    <t>Karthik Raj</t>
  </si>
  <si>
    <t>Pooja Mishra</t>
  </si>
  <si>
    <t>Sanjay Pillai</t>
  </si>
  <si>
    <t>Divya Rao</t>
  </si>
  <si>
    <t>Akash Yadav</t>
  </si>
  <si>
    <t>Nithya Suresh</t>
  </si>
  <si>
    <t>Harish Babu</t>
  </si>
  <si>
    <t>Lakshmi Devi</t>
  </si>
  <si>
    <t>Varun Shah</t>
  </si>
  <si>
    <t>Aishwarya Bose</t>
  </si>
  <si>
    <t>Pranav Joshi</t>
  </si>
  <si>
    <t>Keerthana Mohan</t>
  </si>
  <si>
    <t>Manoj Kumar</t>
  </si>
  <si>
    <t>Shreya Kapoor</t>
  </si>
  <si>
    <t>Surya Prakash</t>
  </si>
  <si>
    <t>Abinaya Selvam</t>
  </si>
  <si>
    <t>Dinesh Kumar</t>
  </si>
  <si>
    <t>Janani Murugan</t>
  </si>
  <si>
    <t>Adarsh Nair</t>
  </si>
  <si>
    <t>Computer Science</t>
  </si>
  <si>
    <t>Bhavana Ramesh</t>
  </si>
  <si>
    <t>Charan Teja</t>
  </si>
  <si>
    <t>Deepika S</t>
  </si>
  <si>
    <t>Eshan Gupta</t>
  </si>
  <si>
    <t>Farhan Ahmed</t>
  </si>
  <si>
    <t>Gayathri Raj</t>
  </si>
  <si>
    <t>Hemanth Kumar</t>
  </si>
  <si>
    <t>Ishita Roy</t>
  </si>
  <si>
    <t>Jeevan Thomas</t>
  </si>
  <si>
    <t>Kiran Kumar</t>
  </si>
  <si>
    <t>Lavanya Devi</t>
  </si>
  <si>
    <t>Madhan Raj</t>
  </si>
  <si>
    <t>Nandhini K</t>
  </si>
  <si>
    <t>Om Prakash</t>
  </si>
  <si>
    <t>Pavithra S</t>
  </si>
  <si>
    <t>Qadir Ali</t>
  </si>
  <si>
    <t>Rakshan M</t>
  </si>
  <si>
    <t>Sanjana Rao</t>
  </si>
  <si>
    <t>Tharun Kumar</t>
  </si>
  <si>
    <t>Uday Shankar</t>
  </si>
  <si>
    <t>Vaishnavi R</t>
  </si>
  <si>
    <t>Wasim Khan</t>
  </si>
  <si>
    <t>Yamini Devi</t>
  </si>
  <si>
    <t>Zoya Fatima</t>
  </si>
  <si>
    <t>Anand Krish</t>
  </si>
  <si>
    <t>Bharath Kumar</t>
  </si>
  <si>
    <t>Chandana S</t>
  </si>
  <si>
    <t>Dharun Raj</t>
  </si>
  <si>
    <t>Elakkiya M</t>
  </si>
  <si>
    <t>Gokul Krishna</t>
  </si>
  <si>
    <t>Harisankar P</t>
  </si>
  <si>
    <t>Indhu Priya</t>
  </si>
  <si>
    <t>Jothi Lakshmi</t>
  </si>
  <si>
    <t>Kavin Raj</t>
  </si>
  <si>
    <t>Logeshwaran S</t>
  </si>
  <si>
    <t>Mithun Kumar</t>
  </si>
  <si>
    <t>Naveen Raj</t>
  </si>
  <si>
    <t>Praveen Kumar</t>
  </si>
  <si>
    <t>Rithika S</t>
  </si>
  <si>
    <t>Sathish Kumar</t>
  </si>
  <si>
    <t>Tamilselvan R</t>
  </si>
  <si>
    <t>Abdul Rahman</t>
  </si>
  <si>
    <t>Commerce</t>
  </si>
  <si>
    <t>Bala Murugan</t>
  </si>
  <si>
    <t>Chitra Devi</t>
  </si>
  <si>
    <t>Dhanush Kumar</t>
  </si>
  <si>
    <t>Esther Mary</t>
  </si>
  <si>
    <t>Fathima Banu</t>
  </si>
  <si>
    <t>Ganesh Babu</t>
  </si>
  <si>
    <t>Hemalatha S</t>
  </si>
  <si>
    <t>Imran Ahmed</t>
  </si>
  <si>
    <t>Jayasree K</t>
  </si>
  <si>
    <t>Kowsalya M</t>
  </si>
  <si>
    <t>Mohan Raj</t>
  </si>
  <si>
    <t>Nirmala Devi</t>
  </si>
  <si>
    <t>Pradeep Kumar</t>
  </si>
  <si>
    <t>Ragul S</t>
  </si>
  <si>
    <t>Saranya R</t>
  </si>
  <si>
    <t>Thilaga Devi</t>
  </si>
  <si>
    <t>Uma Maheshwari</t>
  </si>
  <si>
    <t>Vasanth Kumar</t>
  </si>
  <si>
    <t>Yogesh Raj</t>
  </si>
  <si>
    <t>Aarthi S</t>
  </si>
  <si>
    <t>Bhuvaneshwari M</t>
  </si>
  <si>
    <t>Christopher J</t>
  </si>
  <si>
    <t>Ajay Kumar</t>
  </si>
  <si>
    <t>12</t>
  </si>
  <si>
    <t>Bhargavi R</t>
  </si>
  <si>
    <t>Chandru M</t>
  </si>
  <si>
    <t>Dharshini S</t>
  </si>
  <si>
    <t>Eswaran K</t>
  </si>
  <si>
    <t>Gowtham Raj</t>
  </si>
  <si>
    <t>Hema Malini</t>
  </si>
  <si>
    <t>Iniya Priya</t>
  </si>
  <si>
    <t>Jeevitha R</t>
  </si>
  <si>
    <t>Kabilan S</t>
  </si>
  <si>
    <t>Mahalakshmi P</t>
  </si>
  <si>
    <t>Naveena K</t>
  </si>
  <si>
    <t>Pranesh Kumar</t>
  </si>
  <si>
    <t>Roshini Devi</t>
  </si>
  <si>
    <t>Sivakumar M</t>
  </si>
  <si>
    <t>Thenmozhi R</t>
  </si>
  <si>
    <t>Vigneshwaran S</t>
  </si>
  <si>
    <t>Yamuna Devi</t>
  </si>
  <si>
    <t>Aravind Raj</t>
  </si>
  <si>
    <t>Bhuvan K</t>
  </si>
  <si>
    <t>Deepan Kumar</t>
  </si>
  <si>
    <t>Gokila M</t>
  </si>
  <si>
    <t>Hari Prasad</t>
  </si>
  <si>
    <t>Ilakkiya S</t>
  </si>
  <si>
    <t>Karthikeyan R</t>
  </si>
  <si>
    <t>Mugilan S</t>
  </si>
  <si>
    <t>Nivetha K</t>
  </si>
  <si>
    <t>Pavithran M</t>
  </si>
  <si>
    <t>Ranjith Kumar</t>
  </si>
  <si>
    <t>Sowmiya R</t>
  </si>
  <si>
    <t>Tharshini M</t>
  </si>
  <si>
    <t>Vijayalakshmi S</t>
  </si>
  <si>
    <t>Yuvan Raj</t>
  </si>
  <si>
    <t>Abirami K</t>
  </si>
  <si>
    <t>Akilan M</t>
  </si>
  <si>
    <t>Bharath Raj</t>
  </si>
  <si>
    <t>Chandrika S</t>
  </si>
  <si>
    <t>Darshan Kumar</t>
  </si>
  <si>
    <t>Elango R</t>
  </si>
  <si>
    <t>Feroz Ahmed</t>
  </si>
  <si>
    <t>Gireesh K</t>
  </si>
  <si>
    <t>Harini S</t>
  </si>
  <si>
    <t>Inbaraj M</t>
  </si>
  <si>
    <t>Jeeva Kumar</t>
  </si>
  <si>
    <t>Kishore Raj</t>
  </si>
  <si>
    <t>Lalitha Devi</t>
  </si>
  <si>
    <t>Magesh Kumar</t>
  </si>
  <si>
    <t>Nithish R</t>
  </si>
  <si>
    <t>Prakash M</t>
  </si>
  <si>
    <t>Ragul Raj</t>
  </si>
  <si>
    <t>Sanjay R</t>
  </si>
  <si>
    <t>Thivya S</t>
  </si>
  <si>
    <t>Vimal Kumar</t>
  </si>
  <si>
    <t>Yogalakshmi M</t>
  </si>
  <si>
    <t>Ahamed Sheriff</t>
  </si>
  <si>
    <t>Brindha R</t>
  </si>
  <si>
    <t>Chellapandian M</t>
  </si>
  <si>
    <t>Dinesh Raj</t>
  </si>
  <si>
    <t>Ezhil Arasan</t>
  </si>
  <si>
    <t>Gnanavel S</t>
  </si>
  <si>
    <t>Haris Kumar</t>
  </si>
  <si>
    <t>Jeevanandham R</t>
  </si>
  <si>
    <t>Karthika M</t>
  </si>
  <si>
    <t>Lokesh Kumar</t>
  </si>
  <si>
    <t>Muralidharan S</t>
  </si>
  <si>
    <t>Nandha Kumar</t>
  </si>
  <si>
    <t>Parthiban R</t>
  </si>
  <si>
    <t>Ramesh Babu</t>
  </si>
  <si>
    <t>Srinath M</t>
  </si>
  <si>
    <t>Thirumalai K</t>
  </si>
  <si>
    <t>Vetrivel S</t>
  </si>
  <si>
    <t>Yaswanth Raj</t>
  </si>
  <si>
    <t>Anbarasan M</t>
  </si>
  <si>
    <t>Balamurali K</t>
  </si>
  <si>
    <t>Dilip Kumar</t>
  </si>
  <si>
    <t>Gowri Shankar</t>
  </si>
  <si>
    <t>Kumaran S</t>
  </si>
  <si>
    <t>Mohanapriya R</t>
  </si>
  <si>
    <t>Naren Kumar</t>
  </si>
  <si>
    <t>Suresh Babu</t>
  </si>
  <si>
    <t>Vishnu Priya</t>
  </si>
  <si>
    <t>Anitha R</t>
  </si>
  <si>
    <t>Balaji Kumar</t>
  </si>
  <si>
    <t>Chandran S</t>
  </si>
  <si>
    <t>Devi Priya</t>
  </si>
  <si>
    <t>Elavarasan M</t>
  </si>
  <si>
    <t>Fathima R</t>
  </si>
  <si>
    <t>Gokul Raj</t>
  </si>
  <si>
    <t>Indirani S</t>
  </si>
  <si>
    <t>Jeevitha M</t>
  </si>
  <si>
    <t>Kamal Hassan</t>
  </si>
  <si>
    <t>Malathi Devi</t>
  </si>
  <si>
    <t>Naveen Kumar</t>
  </si>
  <si>
    <t>Parameswari R</t>
  </si>
  <si>
    <t>Rajesh Kumar</t>
  </si>
  <si>
    <t>Shalini S</t>
  </si>
  <si>
    <t>Thangavel M</t>
  </si>
  <si>
    <t>Udhaya Kumar</t>
  </si>
  <si>
    <t>Vidhya Lakshmi</t>
  </si>
  <si>
    <t>Arun Prasad</t>
  </si>
  <si>
    <t>Banu Priya</t>
  </si>
  <si>
    <t>Dhanalakshmi S</t>
  </si>
  <si>
    <t>Kavinraj M</t>
  </si>
  <si>
    <t>Muthu Kumar</t>
  </si>
  <si>
    <t>Revathi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</si>
</sst>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3">
    <dxf>
      <fill>
        <patternFill>
          <bgColor rgb="FFF4B183"/>
        </patternFill>
      </fill>
    </dxf>
    <dxf>
      <fill>
        <patternFill>
          <bgColor rgb="FFD9D9D9"/>
        </patternFill>
      </fill>
    </dxf>
    <dxf>
      <fill>
        <patternFill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Rahul%20&#9760;&#65039;\Anto\results%20(1).xlsx" TargetMode="External"/><Relationship Id="rId1" Type="http://schemas.openxmlformats.org/officeDocument/2006/relationships/externalLinkPath" Target="file:///Y:\Rahul%20&#9760;&#65039;\Anto\resul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ponses"/>
      <sheetName val="Summary"/>
      <sheetName val="Groups"/>
      <sheetName val="Reward Model"/>
    </sheetNames>
    <sheetDataSet>
      <sheetData sheetId="0">
        <row r="2">
          <cell r="B2" t="str">
            <v>Aarav Sharma</v>
          </cell>
          <cell r="I2" t="str">
            <v>Correct</v>
          </cell>
          <cell r="J2">
            <v>1.34</v>
          </cell>
          <cell r="K2" t="str">
            <v>Low</v>
          </cell>
          <cell r="AB2">
            <v>2</v>
          </cell>
        </row>
        <row r="3">
          <cell r="B3" t="str">
            <v>Aarav Sharma</v>
          </cell>
          <cell r="I3" t="str">
            <v>Wrong</v>
          </cell>
          <cell r="J3">
            <v>1.98</v>
          </cell>
          <cell r="K3" t="str">
            <v>Low</v>
          </cell>
          <cell r="AB3">
            <v>0</v>
          </cell>
        </row>
        <row r="4">
          <cell r="B4" t="str">
            <v>Aarav Sharma</v>
          </cell>
          <cell r="I4" t="str">
            <v>Wrong</v>
          </cell>
          <cell r="J4">
            <v>1.79</v>
          </cell>
          <cell r="K4" t="str">
            <v>Low</v>
          </cell>
          <cell r="AB4">
            <v>0</v>
          </cell>
        </row>
        <row r="5">
          <cell r="B5" t="str">
            <v>Aarav Sharma</v>
          </cell>
          <cell r="I5" t="str">
            <v>Wrong</v>
          </cell>
          <cell r="J5">
            <v>1.46</v>
          </cell>
          <cell r="K5" t="str">
            <v>Low</v>
          </cell>
          <cell r="AB5">
            <v>0</v>
          </cell>
        </row>
        <row r="6">
          <cell r="B6" t="str">
            <v>Aarav Sharma</v>
          </cell>
          <cell r="I6" t="str">
            <v>Correct</v>
          </cell>
          <cell r="J6">
            <v>0.98</v>
          </cell>
          <cell r="K6" t="str">
            <v>Low</v>
          </cell>
          <cell r="AB6">
            <v>1</v>
          </cell>
        </row>
        <row r="7">
          <cell r="B7" t="str">
            <v>Aarav Sharma</v>
          </cell>
          <cell r="I7" t="str">
            <v>Correct</v>
          </cell>
          <cell r="J7">
            <v>1.27</v>
          </cell>
          <cell r="K7" t="str">
            <v>Low</v>
          </cell>
          <cell r="AB7">
            <v>2</v>
          </cell>
        </row>
        <row r="8">
          <cell r="B8" t="str">
            <v>Aarav Sharma</v>
          </cell>
          <cell r="I8" t="str">
            <v>Correct</v>
          </cell>
          <cell r="J8">
            <v>1.51</v>
          </cell>
          <cell r="K8" t="str">
            <v>Low</v>
          </cell>
          <cell r="AB8">
            <v>0.99</v>
          </cell>
        </row>
        <row r="9">
          <cell r="B9" t="str">
            <v>Aarav Sharma</v>
          </cell>
          <cell r="I9" t="str">
            <v>Wrong</v>
          </cell>
          <cell r="J9">
            <v>1.22</v>
          </cell>
          <cell r="K9" t="str">
            <v>Low</v>
          </cell>
          <cell r="AB9">
            <v>0</v>
          </cell>
        </row>
        <row r="10">
          <cell r="B10" t="str">
            <v>Aarav Sharma</v>
          </cell>
          <cell r="I10" t="str">
            <v>Wrong</v>
          </cell>
          <cell r="J10">
            <v>1.86</v>
          </cell>
          <cell r="K10" t="str">
            <v>Low</v>
          </cell>
          <cell r="AB10">
            <v>0</v>
          </cell>
        </row>
        <row r="11">
          <cell r="B11" t="str">
            <v>Aarav Sharma</v>
          </cell>
          <cell r="I11" t="str">
            <v>Correct</v>
          </cell>
          <cell r="J11">
            <v>1.94</v>
          </cell>
          <cell r="K11" t="str">
            <v>Medium</v>
          </cell>
          <cell r="AB11">
            <v>1.86</v>
          </cell>
        </row>
        <row r="12">
          <cell r="B12" t="str">
            <v>Aarav Sharma</v>
          </cell>
          <cell r="I12" t="str">
            <v>Wrong</v>
          </cell>
          <cell r="J12">
            <v>1.47</v>
          </cell>
          <cell r="K12" t="str">
            <v>Medium</v>
          </cell>
          <cell r="AB12">
            <v>0</v>
          </cell>
        </row>
        <row r="13">
          <cell r="B13" t="str">
            <v>Aarav Sharma</v>
          </cell>
          <cell r="I13" t="str">
            <v>Correct</v>
          </cell>
          <cell r="J13">
            <v>2.12</v>
          </cell>
          <cell r="K13" t="str">
            <v>Medium</v>
          </cell>
          <cell r="AB13">
            <v>1.7</v>
          </cell>
        </row>
        <row r="14">
          <cell r="B14" t="str">
            <v>Aarav Sharma</v>
          </cell>
          <cell r="I14" t="str">
            <v>Correct</v>
          </cell>
          <cell r="J14">
            <v>1.54</v>
          </cell>
          <cell r="K14" t="str">
            <v>Medium</v>
          </cell>
          <cell r="AB14">
            <v>2</v>
          </cell>
        </row>
        <row r="15">
          <cell r="B15" t="str">
            <v>Aarav Sharma</v>
          </cell>
          <cell r="I15" t="str">
            <v>Correct</v>
          </cell>
          <cell r="J15">
            <v>1.65</v>
          </cell>
          <cell r="K15" t="str">
            <v>Medium</v>
          </cell>
          <cell r="AB15">
            <v>2</v>
          </cell>
        </row>
        <row r="16">
          <cell r="B16" t="str">
            <v>Aarav Sharma</v>
          </cell>
          <cell r="I16" t="str">
            <v>Correct</v>
          </cell>
          <cell r="J16">
            <v>1.21</v>
          </cell>
          <cell r="K16" t="str">
            <v>Medium</v>
          </cell>
          <cell r="AB16">
            <v>2</v>
          </cell>
        </row>
        <row r="17">
          <cell r="B17" t="str">
            <v>Aarav Sharma</v>
          </cell>
          <cell r="I17" t="str">
            <v>Correct</v>
          </cell>
          <cell r="J17">
            <v>2.4500000000000002</v>
          </cell>
          <cell r="K17" t="str">
            <v>High</v>
          </cell>
          <cell r="AB17">
            <v>2.4500000000000002</v>
          </cell>
        </row>
        <row r="18">
          <cell r="B18" t="str">
            <v>Aarav Sharma</v>
          </cell>
          <cell r="I18" t="str">
            <v>Correct</v>
          </cell>
          <cell r="J18">
            <v>1.98</v>
          </cell>
          <cell r="K18" t="str">
            <v>High</v>
          </cell>
          <cell r="AB18">
            <v>3</v>
          </cell>
        </row>
        <row r="19">
          <cell r="B19" t="str">
            <v>Aarav Sharma</v>
          </cell>
          <cell r="I19" t="str">
            <v>Wrong</v>
          </cell>
          <cell r="J19">
            <v>1.8</v>
          </cell>
          <cell r="K19" t="str">
            <v>High</v>
          </cell>
          <cell r="AB19">
            <v>0</v>
          </cell>
        </row>
        <row r="20">
          <cell r="B20" t="str">
            <v>Aarav Sharma</v>
          </cell>
          <cell r="I20" t="str">
            <v>Wrong</v>
          </cell>
          <cell r="J20">
            <v>2.4300000000000002</v>
          </cell>
          <cell r="K20" t="str">
            <v>High</v>
          </cell>
          <cell r="AB20">
            <v>0</v>
          </cell>
        </row>
        <row r="21">
          <cell r="B21" t="str">
            <v>Aarav Sharma</v>
          </cell>
          <cell r="I21" t="str">
            <v>Wrong</v>
          </cell>
          <cell r="J21">
            <v>2.48</v>
          </cell>
          <cell r="K21" t="str">
            <v>High</v>
          </cell>
          <cell r="AB21">
            <v>0</v>
          </cell>
        </row>
        <row r="22">
          <cell r="B22" t="str">
            <v>Ananya Patel</v>
          </cell>
          <cell r="I22" t="str">
            <v>Correct</v>
          </cell>
          <cell r="J22">
            <v>1.18</v>
          </cell>
          <cell r="K22" t="str">
            <v>Low</v>
          </cell>
          <cell r="AB22">
            <v>2</v>
          </cell>
        </row>
        <row r="23">
          <cell r="B23" t="str">
            <v>Ananya Patel</v>
          </cell>
          <cell r="I23" t="str">
            <v>Correct</v>
          </cell>
          <cell r="J23">
            <v>1.34</v>
          </cell>
          <cell r="K23" t="str">
            <v>Low</v>
          </cell>
          <cell r="AB23">
            <v>1</v>
          </cell>
        </row>
        <row r="24">
          <cell r="B24" t="str">
            <v>Ananya Patel</v>
          </cell>
          <cell r="I24" t="str">
            <v>Wrong</v>
          </cell>
          <cell r="J24">
            <v>1.5</v>
          </cell>
          <cell r="K24" t="str">
            <v>Low</v>
          </cell>
          <cell r="AB24">
            <v>0</v>
          </cell>
        </row>
        <row r="25">
          <cell r="B25" t="str">
            <v>Ananya Patel</v>
          </cell>
          <cell r="I25" t="str">
            <v>Correct</v>
          </cell>
          <cell r="J25">
            <v>1.61</v>
          </cell>
          <cell r="K25" t="str">
            <v>Low</v>
          </cell>
          <cell r="AB25">
            <v>0.93</v>
          </cell>
        </row>
        <row r="26">
          <cell r="B26" t="str">
            <v>Ananya Patel</v>
          </cell>
          <cell r="I26" t="str">
            <v>Correct</v>
          </cell>
          <cell r="J26">
            <v>1.67</v>
          </cell>
          <cell r="K26" t="str">
            <v>Low</v>
          </cell>
          <cell r="AB26">
            <v>0.9</v>
          </cell>
        </row>
        <row r="27">
          <cell r="B27" t="str">
            <v>Ananya Patel</v>
          </cell>
          <cell r="I27" t="str">
            <v>Correct</v>
          </cell>
          <cell r="J27">
            <v>1.79</v>
          </cell>
          <cell r="K27" t="str">
            <v>Low</v>
          </cell>
          <cell r="AB27">
            <v>1.68</v>
          </cell>
        </row>
        <row r="28">
          <cell r="B28" t="str">
            <v>Ananya Patel</v>
          </cell>
          <cell r="I28" t="str">
            <v>Correct</v>
          </cell>
          <cell r="J28">
            <v>1.34</v>
          </cell>
          <cell r="K28" t="str">
            <v>Low</v>
          </cell>
          <cell r="AB28">
            <v>1</v>
          </cell>
        </row>
        <row r="29">
          <cell r="B29" t="str">
            <v>Ananya Patel</v>
          </cell>
          <cell r="I29" t="str">
            <v>Correct</v>
          </cell>
          <cell r="J29">
            <v>1.1200000000000001</v>
          </cell>
          <cell r="K29" t="str">
            <v>Low</v>
          </cell>
          <cell r="AB29">
            <v>2</v>
          </cell>
        </row>
        <row r="30">
          <cell r="B30" t="str">
            <v>Ananya Patel</v>
          </cell>
          <cell r="I30" t="str">
            <v>Correct</v>
          </cell>
          <cell r="J30">
            <v>1.82</v>
          </cell>
          <cell r="K30" t="str">
            <v>Low</v>
          </cell>
          <cell r="AB30">
            <v>1.65</v>
          </cell>
        </row>
        <row r="31">
          <cell r="B31" t="str">
            <v>Ananya Patel</v>
          </cell>
          <cell r="I31" t="str">
            <v>Correct</v>
          </cell>
          <cell r="J31">
            <v>1.1100000000000001</v>
          </cell>
          <cell r="K31" t="str">
            <v>Medium</v>
          </cell>
          <cell r="AB31">
            <v>2</v>
          </cell>
        </row>
        <row r="32">
          <cell r="B32" t="str">
            <v>Ananya Patel</v>
          </cell>
          <cell r="I32" t="str">
            <v>Correct</v>
          </cell>
          <cell r="J32">
            <v>1.28</v>
          </cell>
          <cell r="K32" t="str">
            <v>Medium</v>
          </cell>
          <cell r="AB32">
            <v>2</v>
          </cell>
        </row>
        <row r="33">
          <cell r="B33" t="str">
            <v>Ananya Patel</v>
          </cell>
          <cell r="I33" t="str">
            <v>Correct</v>
          </cell>
          <cell r="J33">
            <v>2.16</v>
          </cell>
          <cell r="K33" t="str">
            <v>Medium</v>
          </cell>
          <cell r="AB33">
            <v>1.67</v>
          </cell>
        </row>
        <row r="34">
          <cell r="B34" t="str">
            <v>Ananya Patel</v>
          </cell>
          <cell r="I34" t="str">
            <v>Correct</v>
          </cell>
          <cell r="J34">
            <v>2.25</v>
          </cell>
          <cell r="K34" t="str">
            <v>Medium</v>
          </cell>
          <cell r="AB34">
            <v>1.6</v>
          </cell>
        </row>
        <row r="35">
          <cell r="B35" t="str">
            <v>Ananya Patel</v>
          </cell>
          <cell r="I35" t="str">
            <v>Wrong</v>
          </cell>
          <cell r="J35">
            <v>2.21</v>
          </cell>
          <cell r="K35" t="str">
            <v>Medium</v>
          </cell>
          <cell r="AB35">
            <v>0</v>
          </cell>
        </row>
        <row r="36">
          <cell r="B36" t="str">
            <v>Ananya Patel</v>
          </cell>
          <cell r="I36" t="str">
            <v>Correct</v>
          </cell>
          <cell r="J36">
            <v>1.53</v>
          </cell>
          <cell r="K36" t="str">
            <v>Medium</v>
          </cell>
          <cell r="AB36">
            <v>2</v>
          </cell>
        </row>
        <row r="37">
          <cell r="B37" t="str">
            <v>Ananya Patel</v>
          </cell>
          <cell r="I37" t="str">
            <v>Wrong</v>
          </cell>
          <cell r="J37">
            <v>1.56</v>
          </cell>
          <cell r="K37" t="str">
            <v>High</v>
          </cell>
          <cell r="AB37">
            <v>0</v>
          </cell>
        </row>
        <row r="38">
          <cell r="B38" t="str">
            <v>Ananya Patel</v>
          </cell>
          <cell r="I38" t="str">
            <v>Correct</v>
          </cell>
          <cell r="J38">
            <v>1.88</v>
          </cell>
          <cell r="K38" t="str">
            <v>High</v>
          </cell>
          <cell r="AB38">
            <v>3</v>
          </cell>
        </row>
        <row r="39">
          <cell r="B39" t="str">
            <v>Ananya Patel</v>
          </cell>
          <cell r="I39" t="str">
            <v>Wrong</v>
          </cell>
          <cell r="J39">
            <v>2.27</v>
          </cell>
          <cell r="K39" t="str">
            <v>High</v>
          </cell>
          <cell r="AB39">
            <v>0</v>
          </cell>
        </row>
        <row r="40">
          <cell r="B40" t="str">
            <v>Ananya Patel</v>
          </cell>
          <cell r="I40" t="str">
            <v>Correct</v>
          </cell>
          <cell r="J40">
            <v>1.9</v>
          </cell>
          <cell r="K40" t="str">
            <v>High</v>
          </cell>
          <cell r="AB40">
            <v>3</v>
          </cell>
        </row>
        <row r="41">
          <cell r="B41" t="str">
            <v>Ananya Patel</v>
          </cell>
          <cell r="I41" t="str">
            <v>Wrong</v>
          </cell>
          <cell r="J41">
            <v>1.98</v>
          </cell>
          <cell r="K41" t="str">
            <v>High</v>
          </cell>
          <cell r="AB41">
            <v>0</v>
          </cell>
        </row>
        <row r="42">
          <cell r="B42" t="str">
            <v>Arjun Kumar</v>
          </cell>
          <cell r="I42" t="str">
            <v>Wrong</v>
          </cell>
          <cell r="J42">
            <v>1.57</v>
          </cell>
          <cell r="K42" t="str">
            <v>Low</v>
          </cell>
          <cell r="AB42">
            <v>0</v>
          </cell>
        </row>
        <row r="43">
          <cell r="B43" t="str">
            <v>Arjun Kumar</v>
          </cell>
          <cell r="I43" t="str">
            <v>Correct</v>
          </cell>
          <cell r="J43">
            <v>1.1200000000000001</v>
          </cell>
          <cell r="K43" t="str">
            <v>Low</v>
          </cell>
          <cell r="AB43">
            <v>1</v>
          </cell>
        </row>
        <row r="44">
          <cell r="B44" t="str">
            <v>Arjun Kumar</v>
          </cell>
          <cell r="I44" t="str">
            <v>Correct</v>
          </cell>
          <cell r="J44">
            <v>1.03</v>
          </cell>
          <cell r="K44" t="str">
            <v>Low</v>
          </cell>
          <cell r="AB44">
            <v>2</v>
          </cell>
        </row>
        <row r="45">
          <cell r="B45" t="str">
            <v>Arjun Kumar</v>
          </cell>
          <cell r="I45" t="str">
            <v>Correct</v>
          </cell>
          <cell r="J45">
            <v>0.95</v>
          </cell>
          <cell r="K45" t="str">
            <v>Low</v>
          </cell>
          <cell r="AB45">
            <v>1</v>
          </cell>
        </row>
        <row r="46">
          <cell r="B46" t="str">
            <v>Arjun Kumar</v>
          </cell>
          <cell r="I46" t="str">
            <v>Correct</v>
          </cell>
          <cell r="J46">
            <v>1.5</v>
          </cell>
          <cell r="K46" t="str">
            <v>Low</v>
          </cell>
          <cell r="AB46">
            <v>1</v>
          </cell>
        </row>
        <row r="47">
          <cell r="B47" t="str">
            <v>Arjun Kumar</v>
          </cell>
          <cell r="I47" t="str">
            <v>Correct</v>
          </cell>
          <cell r="J47">
            <v>1.2</v>
          </cell>
          <cell r="K47" t="str">
            <v>Low</v>
          </cell>
          <cell r="AB47">
            <v>2</v>
          </cell>
        </row>
        <row r="48">
          <cell r="B48" t="str">
            <v>Arjun Kumar</v>
          </cell>
          <cell r="I48" t="str">
            <v>Wrong</v>
          </cell>
          <cell r="J48">
            <v>1.29</v>
          </cell>
          <cell r="K48" t="str">
            <v>Low</v>
          </cell>
          <cell r="AB48">
            <v>0</v>
          </cell>
        </row>
        <row r="49">
          <cell r="B49" t="str">
            <v>Arjun Kumar</v>
          </cell>
          <cell r="I49" t="str">
            <v>Wrong</v>
          </cell>
          <cell r="J49">
            <v>1.24</v>
          </cell>
          <cell r="K49" t="str">
            <v>Low</v>
          </cell>
          <cell r="AB49">
            <v>0</v>
          </cell>
        </row>
        <row r="50">
          <cell r="B50" t="str">
            <v>Arjun Kumar</v>
          </cell>
          <cell r="I50" t="str">
            <v>Correct</v>
          </cell>
          <cell r="J50">
            <v>1.54</v>
          </cell>
          <cell r="K50" t="str">
            <v>Low</v>
          </cell>
          <cell r="AB50">
            <v>1.95</v>
          </cell>
        </row>
        <row r="51">
          <cell r="B51" t="str">
            <v>Arjun Kumar</v>
          </cell>
          <cell r="I51" t="str">
            <v>Correct</v>
          </cell>
          <cell r="J51">
            <v>2.02</v>
          </cell>
          <cell r="K51" t="str">
            <v>Medium</v>
          </cell>
          <cell r="AB51">
            <v>1.78</v>
          </cell>
        </row>
        <row r="52">
          <cell r="B52" t="str">
            <v>Arjun Kumar</v>
          </cell>
          <cell r="I52" t="str">
            <v>Correct</v>
          </cell>
          <cell r="J52">
            <v>2.2400000000000002</v>
          </cell>
          <cell r="K52" t="str">
            <v>Medium</v>
          </cell>
          <cell r="AB52">
            <v>1.61</v>
          </cell>
        </row>
        <row r="53">
          <cell r="B53" t="str">
            <v>Arjun Kumar</v>
          </cell>
          <cell r="I53" t="str">
            <v>Correct</v>
          </cell>
          <cell r="J53">
            <v>1.69</v>
          </cell>
          <cell r="K53" t="str">
            <v>Medium</v>
          </cell>
          <cell r="AB53">
            <v>2</v>
          </cell>
        </row>
        <row r="54">
          <cell r="B54" t="str">
            <v>Arjun Kumar</v>
          </cell>
          <cell r="I54" t="str">
            <v>Correct</v>
          </cell>
          <cell r="J54">
            <v>1.96</v>
          </cell>
          <cell r="K54" t="str">
            <v>Medium</v>
          </cell>
          <cell r="AB54">
            <v>1.84</v>
          </cell>
        </row>
        <row r="55">
          <cell r="B55" t="str">
            <v>Arjun Kumar</v>
          </cell>
          <cell r="I55" t="str">
            <v>Correct</v>
          </cell>
          <cell r="J55">
            <v>1.26</v>
          </cell>
          <cell r="K55" t="str">
            <v>Medium</v>
          </cell>
          <cell r="AB55">
            <v>2</v>
          </cell>
        </row>
        <row r="56">
          <cell r="B56" t="str">
            <v>Arjun Kumar</v>
          </cell>
          <cell r="I56" t="str">
            <v>Wrong</v>
          </cell>
          <cell r="J56">
            <v>1.67</v>
          </cell>
          <cell r="K56" t="str">
            <v>Medium</v>
          </cell>
          <cell r="AB56">
            <v>0</v>
          </cell>
        </row>
        <row r="57">
          <cell r="B57" t="str">
            <v>Arjun Kumar</v>
          </cell>
          <cell r="I57" t="str">
            <v>Correct</v>
          </cell>
          <cell r="J57">
            <v>1.38</v>
          </cell>
          <cell r="K57" t="str">
            <v>High</v>
          </cell>
          <cell r="AB57">
            <v>3</v>
          </cell>
        </row>
        <row r="58">
          <cell r="B58" t="str">
            <v>Arjun Kumar</v>
          </cell>
          <cell r="I58" t="str">
            <v>Correct</v>
          </cell>
          <cell r="J58">
            <v>2.04</v>
          </cell>
          <cell r="K58" t="str">
            <v>High</v>
          </cell>
          <cell r="AB58">
            <v>2.94</v>
          </cell>
        </row>
        <row r="59">
          <cell r="B59" t="str">
            <v>Arjun Kumar</v>
          </cell>
          <cell r="I59" t="str">
            <v>Correct</v>
          </cell>
          <cell r="J59">
            <v>2.17</v>
          </cell>
          <cell r="K59" t="str">
            <v>High</v>
          </cell>
          <cell r="AB59">
            <v>2.77</v>
          </cell>
        </row>
        <row r="60">
          <cell r="B60" t="str">
            <v>Arjun Kumar</v>
          </cell>
          <cell r="I60" t="str">
            <v>Correct</v>
          </cell>
          <cell r="J60">
            <v>1.61</v>
          </cell>
          <cell r="K60" t="str">
            <v>High</v>
          </cell>
          <cell r="AB60">
            <v>3</v>
          </cell>
        </row>
        <row r="61">
          <cell r="B61" t="str">
            <v>Arjun Kumar</v>
          </cell>
          <cell r="I61" t="str">
            <v>Wrong</v>
          </cell>
          <cell r="J61">
            <v>2.14</v>
          </cell>
          <cell r="K61" t="str">
            <v>High</v>
          </cell>
          <cell r="AB61">
            <v>0</v>
          </cell>
        </row>
        <row r="62">
          <cell r="B62" t="str">
            <v>Diya Singh</v>
          </cell>
          <cell r="I62" t="str">
            <v>Wrong</v>
          </cell>
          <cell r="J62">
            <v>1.53</v>
          </cell>
          <cell r="K62" t="str">
            <v>Low</v>
          </cell>
          <cell r="AB62">
            <v>0</v>
          </cell>
        </row>
        <row r="63">
          <cell r="B63" t="str">
            <v>Diya Singh</v>
          </cell>
          <cell r="I63" t="str">
            <v>Wrong</v>
          </cell>
          <cell r="J63">
            <v>1.07</v>
          </cell>
          <cell r="K63" t="str">
            <v>Low</v>
          </cell>
          <cell r="AB63">
            <v>0</v>
          </cell>
        </row>
        <row r="64">
          <cell r="B64" t="str">
            <v>Diya Singh</v>
          </cell>
          <cell r="I64" t="str">
            <v>Correct</v>
          </cell>
          <cell r="J64">
            <v>1.47</v>
          </cell>
          <cell r="K64" t="str">
            <v>Low</v>
          </cell>
          <cell r="AB64">
            <v>2</v>
          </cell>
        </row>
        <row r="65">
          <cell r="B65" t="str">
            <v>Diya Singh</v>
          </cell>
          <cell r="I65" t="str">
            <v>Correct</v>
          </cell>
          <cell r="J65">
            <v>1.38</v>
          </cell>
          <cell r="K65" t="str">
            <v>Low</v>
          </cell>
          <cell r="AB65">
            <v>1</v>
          </cell>
        </row>
        <row r="66">
          <cell r="B66" t="str">
            <v>Diya Singh</v>
          </cell>
          <cell r="I66" t="str">
            <v>Wrong</v>
          </cell>
          <cell r="J66">
            <v>1.4</v>
          </cell>
          <cell r="K66" t="str">
            <v>Low</v>
          </cell>
          <cell r="AB66">
            <v>0</v>
          </cell>
        </row>
        <row r="67">
          <cell r="B67" t="str">
            <v>Diya Singh</v>
          </cell>
          <cell r="I67" t="str">
            <v>Correct</v>
          </cell>
          <cell r="J67">
            <v>1.1599999999999999</v>
          </cell>
          <cell r="K67" t="str">
            <v>Low</v>
          </cell>
          <cell r="AB67">
            <v>2</v>
          </cell>
        </row>
        <row r="68">
          <cell r="B68" t="str">
            <v>Diya Singh</v>
          </cell>
          <cell r="I68" t="str">
            <v>Correct</v>
          </cell>
          <cell r="J68">
            <v>1.68</v>
          </cell>
          <cell r="K68" t="str">
            <v>Low</v>
          </cell>
          <cell r="AB68">
            <v>0.89</v>
          </cell>
        </row>
        <row r="69">
          <cell r="B69" t="str">
            <v>Diya Singh</v>
          </cell>
          <cell r="I69" t="str">
            <v>Correct</v>
          </cell>
          <cell r="J69">
            <v>1.5</v>
          </cell>
          <cell r="K69" t="str">
            <v>Low</v>
          </cell>
          <cell r="AB69">
            <v>2</v>
          </cell>
        </row>
        <row r="70">
          <cell r="B70" t="str">
            <v>Diya Singh</v>
          </cell>
          <cell r="I70" t="str">
            <v>Correct</v>
          </cell>
          <cell r="J70">
            <v>0.94</v>
          </cell>
          <cell r="K70" t="str">
            <v>Low</v>
          </cell>
          <cell r="AB70">
            <v>2</v>
          </cell>
        </row>
        <row r="71">
          <cell r="B71" t="str">
            <v>Diya Singh</v>
          </cell>
          <cell r="I71" t="str">
            <v>Wrong</v>
          </cell>
          <cell r="J71">
            <v>2.21</v>
          </cell>
          <cell r="K71" t="str">
            <v>Medium</v>
          </cell>
          <cell r="AB71">
            <v>0</v>
          </cell>
        </row>
        <row r="72">
          <cell r="B72" t="str">
            <v>Diya Singh</v>
          </cell>
          <cell r="I72" t="str">
            <v>Correct</v>
          </cell>
          <cell r="J72">
            <v>1.1499999999999999</v>
          </cell>
          <cell r="K72" t="str">
            <v>Medium</v>
          </cell>
          <cell r="AB72">
            <v>2</v>
          </cell>
        </row>
        <row r="73">
          <cell r="B73" t="str">
            <v>Diya Singh</v>
          </cell>
          <cell r="I73" t="str">
            <v>Correct</v>
          </cell>
          <cell r="J73">
            <v>1.75</v>
          </cell>
          <cell r="K73" t="str">
            <v>Medium</v>
          </cell>
          <cell r="AB73">
            <v>2</v>
          </cell>
        </row>
        <row r="74">
          <cell r="B74" t="str">
            <v>Diya Singh</v>
          </cell>
          <cell r="I74" t="str">
            <v>Correct</v>
          </cell>
          <cell r="J74">
            <v>2.11</v>
          </cell>
          <cell r="K74" t="str">
            <v>Medium</v>
          </cell>
          <cell r="AB74">
            <v>1.71</v>
          </cell>
        </row>
        <row r="75">
          <cell r="B75" t="str">
            <v>Diya Singh</v>
          </cell>
          <cell r="I75" t="str">
            <v>Wrong</v>
          </cell>
          <cell r="J75">
            <v>2.14</v>
          </cell>
          <cell r="K75" t="str">
            <v>Medium</v>
          </cell>
          <cell r="AB75">
            <v>0</v>
          </cell>
        </row>
        <row r="76">
          <cell r="B76" t="str">
            <v>Diya Singh</v>
          </cell>
          <cell r="I76" t="str">
            <v>Correct</v>
          </cell>
          <cell r="J76">
            <v>1.87</v>
          </cell>
          <cell r="K76" t="str">
            <v>Medium</v>
          </cell>
          <cell r="AB76">
            <v>1.93</v>
          </cell>
        </row>
        <row r="77">
          <cell r="B77" t="str">
            <v>Diya Singh</v>
          </cell>
          <cell r="I77" t="str">
            <v>Wrong</v>
          </cell>
          <cell r="J77">
            <v>2.2000000000000002</v>
          </cell>
          <cell r="K77" t="str">
            <v>High</v>
          </cell>
          <cell r="AB77">
            <v>0</v>
          </cell>
        </row>
        <row r="78">
          <cell r="B78" t="str">
            <v>Diya Singh</v>
          </cell>
          <cell r="I78" t="str">
            <v>Correct</v>
          </cell>
          <cell r="J78">
            <v>2.4300000000000002</v>
          </cell>
          <cell r="K78" t="str">
            <v>High</v>
          </cell>
          <cell r="AB78">
            <v>2.4700000000000002</v>
          </cell>
        </row>
        <row r="79">
          <cell r="B79" t="str">
            <v>Diya Singh</v>
          </cell>
          <cell r="I79" t="str">
            <v>Correct</v>
          </cell>
          <cell r="J79">
            <v>1.38</v>
          </cell>
          <cell r="K79" t="str">
            <v>High</v>
          </cell>
          <cell r="AB79">
            <v>3</v>
          </cell>
        </row>
        <row r="80">
          <cell r="B80" t="str">
            <v>Diya Singh</v>
          </cell>
          <cell r="I80" t="str">
            <v>Correct</v>
          </cell>
          <cell r="J80">
            <v>1.94</v>
          </cell>
          <cell r="K80" t="str">
            <v>High</v>
          </cell>
          <cell r="AB80">
            <v>3</v>
          </cell>
        </row>
        <row r="81">
          <cell r="B81" t="str">
            <v>Diya Singh</v>
          </cell>
          <cell r="I81" t="str">
            <v>Correct</v>
          </cell>
          <cell r="J81">
            <v>2.2999999999999998</v>
          </cell>
          <cell r="K81" t="str">
            <v>High</v>
          </cell>
          <cell r="AB81">
            <v>2.61</v>
          </cell>
        </row>
        <row r="82">
          <cell r="B82" t="str">
            <v>Aditya Verma</v>
          </cell>
          <cell r="I82" t="str">
            <v>Wrong</v>
          </cell>
          <cell r="J82">
            <v>1.87</v>
          </cell>
          <cell r="K82" t="str">
            <v>Low</v>
          </cell>
          <cell r="AB82">
            <v>0</v>
          </cell>
        </row>
        <row r="83">
          <cell r="B83" t="str">
            <v>Aditya Verma</v>
          </cell>
          <cell r="I83" t="str">
            <v>Correct</v>
          </cell>
          <cell r="J83">
            <v>1.61</v>
          </cell>
          <cell r="K83" t="str">
            <v>Low</v>
          </cell>
          <cell r="AB83">
            <v>0.93</v>
          </cell>
        </row>
        <row r="84">
          <cell r="B84" t="str">
            <v>Aditya Verma</v>
          </cell>
          <cell r="I84" t="str">
            <v>Correct</v>
          </cell>
          <cell r="J84">
            <v>1.35</v>
          </cell>
          <cell r="K84" t="str">
            <v>Low</v>
          </cell>
          <cell r="AB84">
            <v>2</v>
          </cell>
        </row>
        <row r="85">
          <cell r="B85" t="str">
            <v>Aditya Verma</v>
          </cell>
          <cell r="I85" t="str">
            <v>Correct</v>
          </cell>
          <cell r="J85">
            <v>1.76</v>
          </cell>
          <cell r="K85" t="str">
            <v>Low</v>
          </cell>
          <cell r="AB85">
            <v>0.85</v>
          </cell>
        </row>
        <row r="86">
          <cell r="B86" t="str">
            <v>Aditya Verma</v>
          </cell>
          <cell r="I86" t="str">
            <v>Correct</v>
          </cell>
          <cell r="J86">
            <v>1.83</v>
          </cell>
          <cell r="K86" t="str">
            <v>Low</v>
          </cell>
          <cell r="AB86">
            <v>0.82</v>
          </cell>
        </row>
        <row r="87">
          <cell r="B87" t="str">
            <v>Aditya Verma</v>
          </cell>
          <cell r="I87" t="str">
            <v>Correct</v>
          </cell>
          <cell r="J87">
            <v>1.64</v>
          </cell>
          <cell r="K87" t="str">
            <v>Low</v>
          </cell>
          <cell r="AB87">
            <v>1.83</v>
          </cell>
        </row>
        <row r="88">
          <cell r="B88" t="str">
            <v>Aditya Verma</v>
          </cell>
          <cell r="I88" t="str">
            <v>Correct</v>
          </cell>
          <cell r="J88">
            <v>1.96</v>
          </cell>
          <cell r="K88" t="str">
            <v>Low</v>
          </cell>
          <cell r="AB88">
            <v>0.77</v>
          </cell>
        </row>
        <row r="89">
          <cell r="B89" t="str">
            <v>Aditya Verma</v>
          </cell>
          <cell r="I89" t="str">
            <v>Correct</v>
          </cell>
          <cell r="J89">
            <v>1.29</v>
          </cell>
          <cell r="K89" t="str">
            <v>Low</v>
          </cell>
          <cell r="AB89">
            <v>2</v>
          </cell>
        </row>
        <row r="90">
          <cell r="B90" t="str">
            <v>Aditya Verma</v>
          </cell>
          <cell r="I90" t="str">
            <v>Correct</v>
          </cell>
          <cell r="J90">
            <v>1.07</v>
          </cell>
          <cell r="K90" t="str">
            <v>Low</v>
          </cell>
          <cell r="AB90">
            <v>2</v>
          </cell>
        </row>
        <row r="91">
          <cell r="B91" t="str">
            <v>Aditya Verma</v>
          </cell>
          <cell r="I91" t="str">
            <v>Wrong</v>
          </cell>
          <cell r="J91">
            <v>1.92</v>
          </cell>
          <cell r="K91" t="str">
            <v>Medium</v>
          </cell>
          <cell r="AB91">
            <v>0</v>
          </cell>
        </row>
        <row r="92">
          <cell r="B92" t="str">
            <v>Aditya Verma</v>
          </cell>
          <cell r="I92" t="str">
            <v>Wrong</v>
          </cell>
          <cell r="J92">
            <v>1.36</v>
          </cell>
          <cell r="K92" t="str">
            <v>Medium</v>
          </cell>
          <cell r="AB92">
            <v>0</v>
          </cell>
        </row>
        <row r="93">
          <cell r="B93" t="str">
            <v>Aditya Verma</v>
          </cell>
          <cell r="I93" t="str">
            <v>Correct</v>
          </cell>
          <cell r="J93">
            <v>1.84</v>
          </cell>
          <cell r="K93" t="str">
            <v>Medium</v>
          </cell>
          <cell r="AB93">
            <v>1.96</v>
          </cell>
        </row>
        <row r="94">
          <cell r="B94" t="str">
            <v>Aditya Verma</v>
          </cell>
          <cell r="I94" t="str">
            <v>Correct</v>
          </cell>
          <cell r="J94">
            <v>1.44</v>
          </cell>
          <cell r="K94" t="str">
            <v>Medium</v>
          </cell>
          <cell r="AB94">
            <v>2</v>
          </cell>
        </row>
        <row r="95">
          <cell r="B95" t="str">
            <v>Aditya Verma</v>
          </cell>
          <cell r="I95" t="str">
            <v>Correct</v>
          </cell>
          <cell r="J95">
            <v>2</v>
          </cell>
          <cell r="K95" t="str">
            <v>Medium</v>
          </cell>
          <cell r="AB95">
            <v>1.8</v>
          </cell>
        </row>
        <row r="96">
          <cell r="B96" t="str">
            <v>Aditya Verma</v>
          </cell>
          <cell r="I96" t="str">
            <v>Correct</v>
          </cell>
          <cell r="J96">
            <v>1.98</v>
          </cell>
          <cell r="K96" t="str">
            <v>Medium</v>
          </cell>
          <cell r="AB96">
            <v>1.82</v>
          </cell>
        </row>
        <row r="97">
          <cell r="B97" t="str">
            <v>Aditya Verma</v>
          </cell>
          <cell r="I97" t="str">
            <v>Wrong</v>
          </cell>
          <cell r="J97">
            <v>1.61</v>
          </cell>
          <cell r="K97" t="str">
            <v>High</v>
          </cell>
          <cell r="AB97">
            <v>0</v>
          </cell>
        </row>
        <row r="98">
          <cell r="B98" t="str">
            <v>Aditya Verma</v>
          </cell>
          <cell r="I98" t="str">
            <v>Wrong</v>
          </cell>
          <cell r="J98">
            <v>2.14</v>
          </cell>
          <cell r="K98" t="str">
            <v>High</v>
          </cell>
          <cell r="AB98">
            <v>0</v>
          </cell>
        </row>
        <row r="99">
          <cell r="B99" t="str">
            <v>Aditya Verma</v>
          </cell>
          <cell r="I99" t="str">
            <v>Correct</v>
          </cell>
          <cell r="J99">
            <v>1.39</v>
          </cell>
          <cell r="K99" t="str">
            <v>High</v>
          </cell>
          <cell r="AB99">
            <v>3</v>
          </cell>
        </row>
        <row r="100">
          <cell r="B100" t="str">
            <v>Aditya Verma</v>
          </cell>
          <cell r="I100" t="str">
            <v>Correct</v>
          </cell>
          <cell r="J100">
            <v>2.29</v>
          </cell>
          <cell r="K100" t="str">
            <v>High</v>
          </cell>
          <cell r="AB100">
            <v>2.62</v>
          </cell>
        </row>
        <row r="101">
          <cell r="B101" t="str">
            <v>Aditya Verma</v>
          </cell>
          <cell r="I101" t="str">
            <v>Correct</v>
          </cell>
          <cell r="J101">
            <v>1.34</v>
          </cell>
          <cell r="K101" t="str">
            <v>High</v>
          </cell>
          <cell r="AB101">
            <v>3</v>
          </cell>
        </row>
        <row r="102">
          <cell r="B102" t="str">
            <v>Priya Nair</v>
          </cell>
          <cell r="I102" t="str">
            <v>Correct</v>
          </cell>
          <cell r="J102">
            <v>1.04</v>
          </cell>
          <cell r="K102" t="str">
            <v>Low</v>
          </cell>
          <cell r="AB102">
            <v>2</v>
          </cell>
        </row>
        <row r="103">
          <cell r="B103" t="str">
            <v>Priya Nair</v>
          </cell>
          <cell r="I103" t="str">
            <v>Correct</v>
          </cell>
          <cell r="J103">
            <v>1.65</v>
          </cell>
          <cell r="K103" t="str">
            <v>Low</v>
          </cell>
          <cell r="AB103">
            <v>0.91</v>
          </cell>
        </row>
        <row r="104">
          <cell r="B104" t="str">
            <v>Priya Nair</v>
          </cell>
          <cell r="I104" t="str">
            <v>Correct</v>
          </cell>
          <cell r="J104">
            <v>1.53</v>
          </cell>
          <cell r="K104" t="str">
            <v>Low</v>
          </cell>
          <cell r="AB104">
            <v>1.96</v>
          </cell>
        </row>
        <row r="105">
          <cell r="B105" t="str">
            <v>Priya Nair</v>
          </cell>
          <cell r="I105" t="str">
            <v>Correct</v>
          </cell>
          <cell r="J105">
            <v>1.93</v>
          </cell>
          <cell r="K105" t="str">
            <v>Low</v>
          </cell>
          <cell r="AB105">
            <v>0.78</v>
          </cell>
        </row>
        <row r="106">
          <cell r="B106" t="str">
            <v>Priya Nair</v>
          </cell>
          <cell r="I106" t="str">
            <v>Correct</v>
          </cell>
          <cell r="J106">
            <v>1.29</v>
          </cell>
          <cell r="K106" t="str">
            <v>Low</v>
          </cell>
          <cell r="AB106">
            <v>1</v>
          </cell>
        </row>
        <row r="107">
          <cell r="B107" t="str">
            <v>Priya Nair</v>
          </cell>
          <cell r="I107" t="str">
            <v>Correct</v>
          </cell>
          <cell r="J107">
            <v>1.76</v>
          </cell>
          <cell r="K107" t="str">
            <v>Low</v>
          </cell>
          <cell r="AB107">
            <v>1.7</v>
          </cell>
        </row>
        <row r="108">
          <cell r="B108" t="str">
            <v>Priya Nair</v>
          </cell>
          <cell r="I108" t="str">
            <v>Correct</v>
          </cell>
          <cell r="J108">
            <v>1.57</v>
          </cell>
          <cell r="K108" t="str">
            <v>Low</v>
          </cell>
          <cell r="AB108">
            <v>0.96</v>
          </cell>
        </row>
        <row r="109">
          <cell r="B109" t="str">
            <v>Priya Nair</v>
          </cell>
          <cell r="I109" t="str">
            <v>Correct</v>
          </cell>
          <cell r="J109">
            <v>1.62</v>
          </cell>
          <cell r="K109" t="str">
            <v>Low</v>
          </cell>
          <cell r="AB109">
            <v>1.85</v>
          </cell>
        </row>
        <row r="110">
          <cell r="B110" t="str">
            <v>Priya Nair</v>
          </cell>
          <cell r="I110" t="str">
            <v>Wrong</v>
          </cell>
          <cell r="J110">
            <v>0.94</v>
          </cell>
          <cell r="K110" t="str">
            <v>Low</v>
          </cell>
          <cell r="AB110">
            <v>0</v>
          </cell>
        </row>
        <row r="111">
          <cell r="B111" t="str">
            <v>Priya Nair</v>
          </cell>
          <cell r="I111" t="str">
            <v>Correct</v>
          </cell>
          <cell r="J111">
            <v>1.59</v>
          </cell>
          <cell r="K111" t="str">
            <v>Medium</v>
          </cell>
          <cell r="AB111">
            <v>2</v>
          </cell>
        </row>
        <row r="112">
          <cell r="B112" t="str">
            <v>Priya Nair</v>
          </cell>
          <cell r="I112" t="str">
            <v>Correct</v>
          </cell>
          <cell r="J112">
            <v>1.83</v>
          </cell>
          <cell r="K112" t="str">
            <v>Medium</v>
          </cell>
          <cell r="AB112">
            <v>1.97</v>
          </cell>
        </row>
        <row r="113">
          <cell r="B113" t="str">
            <v>Priya Nair</v>
          </cell>
          <cell r="I113" t="str">
            <v>Correct</v>
          </cell>
          <cell r="J113">
            <v>1.81</v>
          </cell>
          <cell r="K113" t="str">
            <v>Medium</v>
          </cell>
          <cell r="AB113">
            <v>1.99</v>
          </cell>
        </row>
        <row r="114">
          <cell r="B114" t="str">
            <v>Priya Nair</v>
          </cell>
          <cell r="I114" t="str">
            <v>Correct</v>
          </cell>
          <cell r="J114">
            <v>1.61</v>
          </cell>
          <cell r="K114" t="str">
            <v>Medium</v>
          </cell>
          <cell r="AB114">
            <v>2</v>
          </cell>
        </row>
        <row r="115">
          <cell r="B115" t="str">
            <v>Priya Nair</v>
          </cell>
          <cell r="I115" t="str">
            <v>Correct</v>
          </cell>
          <cell r="J115">
            <v>1.91</v>
          </cell>
          <cell r="K115" t="str">
            <v>Medium</v>
          </cell>
          <cell r="AB115">
            <v>1.88</v>
          </cell>
        </row>
        <row r="116">
          <cell r="B116" t="str">
            <v>Priya Nair</v>
          </cell>
          <cell r="I116" t="str">
            <v>Wrong</v>
          </cell>
          <cell r="J116">
            <v>1.92</v>
          </cell>
          <cell r="K116" t="str">
            <v>Medium</v>
          </cell>
          <cell r="AB116">
            <v>0</v>
          </cell>
        </row>
        <row r="117">
          <cell r="B117" t="str">
            <v>Priya Nair</v>
          </cell>
          <cell r="I117" t="str">
            <v>Wrong</v>
          </cell>
          <cell r="J117">
            <v>2.15</v>
          </cell>
          <cell r="K117" t="str">
            <v>High</v>
          </cell>
          <cell r="AB117">
            <v>0</v>
          </cell>
        </row>
        <row r="118">
          <cell r="B118" t="str">
            <v>Priya Nair</v>
          </cell>
          <cell r="I118" t="str">
            <v>Wrong</v>
          </cell>
          <cell r="J118">
            <v>1.74</v>
          </cell>
          <cell r="K118" t="str">
            <v>High</v>
          </cell>
          <cell r="AB118">
            <v>0</v>
          </cell>
        </row>
        <row r="119">
          <cell r="B119" t="str">
            <v>Priya Nair</v>
          </cell>
          <cell r="I119" t="str">
            <v>Correct</v>
          </cell>
          <cell r="J119">
            <v>2.5299999999999998</v>
          </cell>
          <cell r="K119" t="str">
            <v>High</v>
          </cell>
          <cell r="AB119">
            <v>2.37</v>
          </cell>
        </row>
        <row r="120">
          <cell r="B120" t="str">
            <v>Priya Nair</v>
          </cell>
          <cell r="I120" t="str">
            <v>Correct</v>
          </cell>
          <cell r="J120">
            <v>1.7</v>
          </cell>
          <cell r="K120" t="str">
            <v>High</v>
          </cell>
          <cell r="AB120">
            <v>3</v>
          </cell>
        </row>
        <row r="121">
          <cell r="B121" t="str">
            <v>Priya Nair</v>
          </cell>
          <cell r="I121" t="str">
            <v>Correct</v>
          </cell>
          <cell r="J121">
            <v>2.23</v>
          </cell>
          <cell r="K121" t="str">
            <v>High</v>
          </cell>
          <cell r="AB121">
            <v>2.69</v>
          </cell>
        </row>
        <row r="122">
          <cell r="B122" t="str">
            <v>Rahul Das</v>
          </cell>
          <cell r="I122" t="str">
            <v>Correct</v>
          </cell>
          <cell r="J122">
            <v>1.04</v>
          </cell>
          <cell r="K122" t="str">
            <v>Low</v>
          </cell>
          <cell r="AB122">
            <v>2</v>
          </cell>
        </row>
        <row r="123">
          <cell r="B123" t="str">
            <v>Rahul Das</v>
          </cell>
          <cell r="I123" t="str">
            <v>Correct</v>
          </cell>
          <cell r="J123">
            <v>1.36</v>
          </cell>
          <cell r="K123" t="str">
            <v>Low</v>
          </cell>
          <cell r="AB123">
            <v>1</v>
          </cell>
        </row>
        <row r="124">
          <cell r="B124" t="str">
            <v>Rahul Das</v>
          </cell>
          <cell r="I124" t="str">
            <v>Correct</v>
          </cell>
          <cell r="J124">
            <v>1.31</v>
          </cell>
          <cell r="K124" t="str">
            <v>Low</v>
          </cell>
          <cell r="AB124">
            <v>2</v>
          </cell>
        </row>
        <row r="125">
          <cell r="B125" t="str">
            <v>Rahul Das</v>
          </cell>
          <cell r="I125" t="str">
            <v>Wrong</v>
          </cell>
          <cell r="J125">
            <v>1.63</v>
          </cell>
          <cell r="K125" t="str">
            <v>Low</v>
          </cell>
          <cell r="AB125">
            <v>0</v>
          </cell>
        </row>
        <row r="126">
          <cell r="B126" t="str">
            <v>Rahul Das</v>
          </cell>
          <cell r="I126" t="str">
            <v>Correct</v>
          </cell>
          <cell r="J126">
            <v>1.75</v>
          </cell>
          <cell r="K126" t="str">
            <v>Low</v>
          </cell>
          <cell r="AB126">
            <v>0.86</v>
          </cell>
        </row>
        <row r="127">
          <cell r="B127" t="str">
            <v>Rahul Das</v>
          </cell>
          <cell r="I127" t="str">
            <v>Correct</v>
          </cell>
          <cell r="J127">
            <v>1.1000000000000001</v>
          </cell>
          <cell r="K127" t="str">
            <v>Low</v>
          </cell>
          <cell r="AB127">
            <v>2</v>
          </cell>
        </row>
        <row r="128">
          <cell r="B128" t="str">
            <v>Rahul Das</v>
          </cell>
          <cell r="I128" t="str">
            <v>Correct</v>
          </cell>
          <cell r="J128">
            <v>0.93</v>
          </cell>
          <cell r="K128" t="str">
            <v>Low</v>
          </cell>
          <cell r="AB128">
            <v>1</v>
          </cell>
        </row>
        <row r="129">
          <cell r="B129" t="str">
            <v>Rahul Das</v>
          </cell>
          <cell r="I129" t="str">
            <v>Correct</v>
          </cell>
          <cell r="J129">
            <v>1.69</v>
          </cell>
          <cell r="K129" t="str">
            <v>Low</v>
          </cell>
          <cell r="AB129">
            <v>1.78</v>
          </cell>
        </row>
        <row r="130">
          <cell r="B130" t="str">
            <v>Rahul Das</v>
          </cell>
          <cell r="I130" t="str">
            <v>Wrong</v>
          </cell>
          <cell r="J130">
            <v>1.65</v>
          </cell>
          <cell r="K130" t="str">
            <v>Low</v>
          </cell>
          <cell r="AB130">
            <v>0</v>
          </cell>
        </row>
        <row r="131">
          <cell r="B131" t="str">
            <v>Rahul Das</v>
          </cell>
          <cell r="I131" t="str">
            <v>Correct</v>
          </cell>
          <cell r="J131">
            <v>1.58</v>
          </cell>
          <cell r="K131" t="str">
            <v>Medium</v>
          </cell>
          <cell r="AB131">
            <v>2</v>
          </cell>
        </row>
        <row r="132">
          <cell r="B132" t="str">
            <v>Rahul Das</v>
          </cell>
          <cell r="I132" t="str">
            <v>Correct</v>
          </cell>
          <cell r="J132">
            <v>1.41</v>
          </cell>
          <cell r="K132" t="str">
            <v>Medium</v>
          </cell>
          <cell r="AB132">
            <v>2</v>
          </cell>
        </row>
        <row r="133">
          <cell r="B133" t="str">
            <v>Rahul Das</v>
          </cell>
          <cell r="I133" t="str">
            <v>Wrong</v>
          </cell>
          <cell r="J133">
            <v>1.37</v>
          </cell>
          <cell r="K133" t="str">
            <v>Medium</v>
          </cell>
          <cell r="AB133">
            <v>0</v>
          </cell>
        </row>
        <row r="134">
          <cell r="B134" t="str">
            <v>Rahul Das</v>
          </cell>
          <cell r="I134" t="str">
            <v>Correct</v>
          </cell>
          <cell r="J134">
            <v>1.1200000000000001</v>
          </cell>
          <cell r="K134" t="str">
            <v>Medium</v>
          </cell>
          <cell r="AB134">
            <v>2</v>
          </cell>
        </row>
        <row r="135">
          <cell r="B135" t="str">
            <v>Rahul Das</v>
          </cell>
          <cell r="I135" t="str">
            <v>Correct</v>
          </cell>
          <cell r="J135">
            <v>1.75</v>
          </cell>
          <cell r="K135" t="str">
            <v>Medium</v>
          </cell>
          <cell r="AB135">
            <v>2</v>
          </cell>
        </row>
        <row r="136">
          <cell r="B136" t="str">
            <v>Rahul Das</v>
          </cell>
          <cell r="I136" t="str">
            <v>Correct</v>
          </cell>
          <cell r="J136">
            <v>1.6</v>
          </cell>
          <cell r="K136" t="str">
            <v>Medium</v>
          </cell>
          <cell r="AB136">
            <v>2</v>
          </cell>
        </row>
        <row r="137">
          <cell r="B137" t="str">
            <v>Rahul Das</v>
          </cell>
          <cell r="I137" t="str">
            <v>Wrong</v>
          </cell>
          <cell r="J137">
            <v>1.39</v>
          </cell>
          <cell r="K137" t="str">
            <v>High</v>
          </cell>
          <cell r="AB137">
            <v>0</v>
          </cell>
        </row>
        <row r="138">
          <cell r="B138" t="str">
            <v>Rahul Das</v>
          </cell>
          <cell r="I138" t="str">
            <v>Wrong</v>
          </cell>
          <cell r="J138">
            <v>2.0299999999999998</v>
          </cell>
          <cell r="K138" t="str">
            <v>High</v>
          </cell>
          <cell r="AB138">
            <v>0</v>
          </cell>
        </row>
        <row r="139">
          <cell r="B139" t="str">
            <v>Rahul Das</v>
          </cell>
          <cell r="I139" t="str">
            <v>Wrong</v>
          </cell>
          <cell r="J139">
            <v>1.97</v>
          </cell>
          <cell r="K139" t="str">
            <v>High</v>
          </cell>
          <cell r="AB139">
            <v>0</v>
          </cell>
        </row>
        <row r="140">
          <cell r="B140" t="str">
            <v>Rahul Das</v>
          </cell>
          <cell r="I140" t="str">
            <v>Correct</v>
          </cell>
          <cell r="J140">
            <v>2.11</v>
          </cell>
          <cell r="K140" t="str">
            <v>High</v>
          </cell>
          <cell r="AB140">
            <v>2.84</v>
          </cell>
        </row>
        <row r="141">
          <cell r="B141" t="str">
            <v>Rahul Das</v>
          </cell>
          <cell r="I141" t="str">
            <v>Correct</v>
          </cell>
          <cell r="J141">
            <v>2.5499999999999998</v>
          </cell>
          <cell r="K141" t="str">
            <v>High</v>
          </cell>
          <cell r="AB141">
            <v>2.35</v>
          </cell>
        </row>
        <row r="142">
          <cell r="B142" t="str">
            <v>Sneha Reddy</v>
          </cell>
          <cell r="I142" t="str">
            <v>Wrong</v>
          </cell>
          <cell r="J142">
            <v>1.3</v>
          </cell>
          <cell r="K142" t="str">
            <v>Low</v>
          </cell>
          <cell r="AB142">
            <v>0</v>
          </cell>
        </row>
        <row r="143">
          <cell r="B143" t="str">
            <v>Sneha Reddy</v>
          </cell>
          <cell r="I143" t="str">
            <v>Correct</v>
          </cell>
          <cell r="J143">
            <v>1.6</v>
          </cell>
          <cell r="K143" t="str">
            <v>Low</v>
          </cell>
          <cell r="AB143">
            <v>0.94</v>
          </cell>
        </row>
        <row r="144">
          <cell r="B144" t="str">
            <v>Sneha Reddy</v>
          </cell>
          <cell r="I144" t="str">
            <v>Correct</v>
          </cell>
          <cell r="J144">
            <v>1.5</v>
          </cell>
          <cell r="K144" t="str">
            <v>Low</v>
          </cell>
          <cell r="AB144">
            <v>2</v>
          </cell>
        </row>
        <row r="145">
          <cell r="B145" t="str">
            <v>Sneha Reddy</v>
          </cell>
          <cell r="I145" t="str">
            <v>Correct</v>
          </cell>
          <cell r="J145">
            <v>1.42</v>
          </cell>
          <cell r="K145" t="str">
            <v>Low</v>
          </cell>
          <cell r="AB145">
            <v>1</v>
          </cell>
        </row>
        <row r="146">
          <cell r="B146" t="str">
            <v>Sneha Reddy</v>
          </cell>
          <cell r="I146" t="str">
            <v>Correct</v>
          </cell>
          <cell r="J146">
            <v>1.77</v>
          </cell>
          <cell r="K146" t="str">
            <v>Low</v>
          </cell>
          <cell r="AB146">
            <v>0.85</v>
          </cell>
        </row>
        <row r="147">
          <cell r="B147" t="str">
            <v>Sneha Reddy</v>
          </cell>
          <cell r="I147" t="str">
            <v>Wrong</v>
          </cell>
          <cell r="J147">
            <v>1.24</v>
          </cell>
          <cell r="K147" t="str">
            <v>Low</v>
          </cell>
          <cell r="AB147">
            <v>0</v>
          </cell>
        </row>
        <row r="148">
          <cell r="B148" t="str">
            <v>Sneha Reddy</v>
          </cell>
          <cell r="I148" t="str">
            <v>Correct</v>
          </cell>
          <cell r="J148">
            <v>1.07</v>
          </cell>
          <cell r="K148" t="str">
            <v>Low</v>
          </cell>
          <cell r="AB148">
            <v>1</v>
          </cell>
        </row>
        <row r="149">
          <cell r="B149" t="str">
            <v>Sneha Reddy</v>
          </cell>
          <cell r="I149" t="str">
            <v>Correct</v>
          </cell>
          <cell r="J149">
            <v>1.35</v>
          </cell>
          <cell r="K149" t="str">
            <v>Low</v>
          </cell>
          <cell r="AB149">
            <v>2</v>
          </cell>
        </row>
        <row r="150">
          <cell r="B150" t="str">
            <v>Sneha Reddy</v>
          </cell>
          <cell r="I150" t="str">
            <v>Correct</v>
          </cell>
          <cell r="J150">
            <v>1.43</v>
          </cell>
          <cell r="K150" t="str">
            <v>Low</v>
          </cell>
          <cell r="AB150">
            <v>2</v>
          </cell>
        </row>
        <row r="151">
          <cell r="B151" t="str">
            <v>Sneha Reddy</v>
          </cell>
          <cell r="I151" t="str">
            <v>Correct</v>
          </cell>
          <cell r="J151">
            <v>1.1100000000000001</v>
          </cell>
          <cell r="K151" t="str">
            <v>Medium</v>
          </cell>
          <cell r="AB151">
            <v>2</v>
          </cell>
        </row>
        <row r="152">
          <cell r="B152" t="str">
            <v>Sneha Reddy</v>
          </cell>
          <cell r="I152" t="str">
            <v>Correct</v>
          </cell>
          <cell r="J152">
            <v>1.53</v>
          </cell>
          <cell r="K152" t="str">
            <v>Medium</v>
          </cell>
          <cell r="AB152">
            <v>2</v>
          </cell>
        </row>
        <row r="153">
          <cell r="B153" t="str">
            <v>Sneha Reddy</v>
          </cell>
          <cell r="I153" t="str">
            <v>Correct</v>
          </cell>
          <cell r="J153">
            <v>2.25</v>
          </cell>
          <cell r="K153" t="str">
            <v>Medium</v>
          </cell>
          <cell r="AB153">
            <v>1.6</v>
          </cell>
        </row>
        <row r="154">
          <cell r="B154" t="str">
            <v>Sneha Reddy</v>
          </cell>
          <cell r="I154" t="str">
            <v>Wrong</v>
          </cell>
          <cell r="J154">
            <v>1.94</v>
          </cell>
          <cell r="K154" t="str">
            <v>Medium</v>
          </cell>
          <cell r="AB154">
            <v>0</v>
          </cell>
        </row>
        <row r="155">
          <cell r="B155" t="str">
            <v>Sneha Reddy</v>
          </cell>
          <cell r="I155" t="str">
            <v>Wrong</v>
          </cell>
          <cell r="J155">
            <v>1.87</v>
          </cell>
          <cell r="K155" t="str">
            <v>Medium</v>
          </cell>
          <cell r="AB155">
            <v>0</v>
          </cell>
        </row>
        <row r="156">
          <cell r="B156" t="str">
            <v>Sneha Reddy</v>
          </cell>
          <cell r="I156" t="str">
            <v>Wrong</v>
          </cell>
          <cell r="J156">
            <v>1.46</v>
          </cell>
          <cell r="K156" t="str">
            <v>Medium</v>
          </cell>
          <cell r="AB156">
            <v>0</v>
          </cell>
        </row>
        <row r="157">
          <cell r="B157" t="str">
            <v>Sneha Reddy</v>
          </cell>
          <cell r="I157" t="str">
            <v>Wrong</v>
          </cell>
          <cell r="J157">
            <v>2.2200000000000002</v>
          </cell>
          <cell r="K157" t="str">
            <v>High</v>
          </cell>
          <cell r="AB157">
            <v>0</v>
          </cell>
        </row>
        <row r="158">
          <cell r="B158" t="str">
            <v>Sneha Reddy</v>
          </cell>
          <cell r="I158" t="str">
            <v>Wrong</v>
          </cell>
          <cell r="J158">
            <v>2.2000000000000002</v>
          </cell>
          <cell r="K158" t="str">
            <v>High</v>
          </cell>
          <cell r="AB158">
            <v>0</v>
          </cell>
        </row>
        <row r="159">
          <cell r="B159" t="str">
            <v>Sneha Reddy</v>
          </cell>
          <cell r="I159" t="str">
            <v>Wrong</v>
          </cell>
          <cell r="J159">
            <v>2.6</v>
          </cell>
          <cell r="K159" t="str">
            <v>High</v>
          </cell>
          <cell r="AB159">
            <v>0</v>
          </cell>
        </row>
        <row r="160">
          <cell r="B160" t="str">
            <v>Sneha Reddy</v>
          </cell>
          <cell r="I160" t="str">
            <v>Correct</v>
          </cell>
          <cell r="J160">
            <v>1.23</v>
          </cell>
          <cell r="K160" t="str">
            <v>High</v>
          </cell>
          <cell r="AB160">
            <v>3</v>
          </cell>
        </row>
        <row r="161">
          <cell r="B161" t="str">
            <v>Sneha Reddy</v>
          </cell>
          <cell r="I161" t="str">
            <v>Wrong</v>
          </cell>
          <cell r="J161">
            <v>2.39</v>
          </cell>
          <cell r="K161" t="str">
            <v>High</v>
          </cell>
          <cell r="AB161">
            <v>0</v>
          </cell>
        </row>
        <row r="162">
          <cell r="B162" t="str">
            <v>Vikram Menon</v>
          </cell>
          <cell r="I162" t="str">
            <v>Wrong</v>
          </cell>
          <cell r="J162">
            <v>1.59</v>
          </cell>
          <cell r="K162" t="str">
            <v>Low</v>
          </cell>
          <cell r="AB162">
            <v>0</v>
          </cell>
        </row>
        <row r="163">
          <cell r="B163" t="str">
            <v>Vikram Menon</v>
          </cell>
          <cell r="I163" t="str">
            <v>Correct</v>
          </cell>
          <cell r="J163">
            <v>1.83</v>
          </cell>
          <cell r="K163" t="str">
            <v>Low</v>
          </cell>
          <cell r="AB163">
            <v>0.82</v>
          </cell>
        </row>
        <row r="164">
          <cell r="B164" t="str">
            <v>Vikram Menon</v>
          </cell>
          <cell r="I164" t="str">
            <v>Wrong</v>
          </cell>
          <cell r="J164">
            <v>1.43</v>
          </cell>
          <cell r="K164" t="str">
            <v>Low</v>
          </cell>
          <cell r="AB164">
            <v>0</v>
          </cell>
        </row>
        <row r="165">
          <cell r="B165" t="str">
            <v>Vikram Menon</v>
          </cell>
          <cell r="I165" t="str">
            <v>Correct</v>
          </cell>
          <cell r="J165">
            <v>1.36</v>
          </cell>
          <cell r="K165" t="str">
            <v>Low</v>
          </cell>
          <cell r="AB165">
            <v>1</v>
          </cell>
        </row>
        <row r="166">
          <cell r="B166" t="str">
            <v>Vikram Menon</v>
          </cell>
          <cell r="I166" t="str">
            <v>Correct</v>
          </cell>
          <cell r="J166">
            <v>1.79</v>
          </cell>
          <cell r="K166" t="str">
            <v>Low</v>
          </cell>
          <cell r="AB166">
            <v>0.84</v>
          </cell>
        </row>
        <row r="167">
          <cell r="B167" t="str">
            <v>Vikram Menon</v>
          </cell>
          <cell r="I167" t="str">
            <v>Correct</v>
          </cell>
          <cell r="J167">
            <v>1.89</v>
          </cell>
          <cell r="K167" t="str">
            <v>Low</v>
          </cell>
          <cell r="AB167">
            <v>1.59</v>
          </cell>
        </row>
        <row r="168">
          <cell r="B168" t="str">
            <v>Vikram Menon</v>
          </cell>
          <cell r="I168" t="str">
            <v>Correct</v>
          </cell>
          <cell r="J168">
            <v>1.98</v>
          </cell>
          <cell r="K168" t="str">
            <v>Low</v>
          </cell>
          <cell r="AB168">
            <v>0.76</v>
          </cell>
        </row>
        <row r="169">
          <cell r="B169" t="str">
            <v>Vikram Menon</v>
          </cell>
          <cell r="I169" t="str">
            <v>Correct</v>
          </cell>
          <cell r="J169">
            <v>2</v>
          </cell>
          <cell r="K169" t="str">
            <v>Low</v>
          </cell>
          <cell r="AB169">
            <v>1.5</v>
          </cell>
        </row>
        <row r="170">
          <cell r="B170" t="str">
            <v>Vikram Menon</v>
          </cell>
          <cell r="I170" t="str">
            <v>Wrong</v>
          </cell>
          <cell r="J170">
            <v>1.69</v>
          </cell>
          <cell r="K170" t="str">
            <v>Low</v>
          </cell>
          <cell r="AB170">
            <v>0</v>
          </cell>
        </row>
        <row r="171">
          <cell r="B171" t="str">
            <v>Vikram Menon</v>
          </cell>
          <cell r="I171" t="str">
            <v>Correct</v>
          </cell>
          <cell r="J171">
            <v>1.1399999999999999</v>
          </cell>
          <cell r="K171" t="str">
            <v>Medium</v>
          </cell>
          <cell r="AB171">
            <v>2</v>
          </cell>
        </row>
        <row r="172">
          <cell r="B172" t="str">
            <v>Vikram Menon</v>
          </cell>
          <cell r="I172" t="str">
            <v>Correct</v>
          </cell>
          <cell r="J172">
            <v>1.48</v>
          </cell>
          <cell r="K172" t="str">
            <v>Medium</v>
          </cell>
          <cell r="AB172">
            <v>2</v>
          </cell>
        </row>
        <row r="173">
          <cell r="B173" t="str">
            <v>Vikram Menon</v>
          </cell>
          <cell r="I173" t="str">
            <v>Correct</v>
          </cell>
          <cell r="J173">
            <v>1.27</v>
          </cell>
          <cell r="K173" t="str">
            <v>Medium</v>
          </cell>
          <cell r="AB173">
            <v>2</v>
          </cell>
        </row>
        <row r="174">
          <cell r="B174" t="str">
            <v>Vikram Menon</v>
          </cell>
          <cell r="I174" t="str">
            <v>Wrong</v>
          </cell>
          <cell r="J174">
            <v>2.16</v>
          </cell>
          <cell r="K174" t="str">
            <v>Medium</v>
          </cell>
          <cell r="AB174">
            <v>0</v>
          </cell>
        </row>
        <row r="175">
          <cell r="B175" t="str">
            <v>Vikram Menon</v>
          </cell>
          <cell r="I175" t="str">
            <v>Wrong</v>
          </cell>
          <cell r="J175">
            <v>1.9</v>
          </cell>
          <cell r="K175" t="str">
            <v>Medium</v>
          </cell>
          <cell r="AB175">
            <v>0</v>
          </cell>
        </row>
        <row r="176">
          <cell r="B176" t="str">
            <v>Vikram Menon</v>
          </cell>
          <cell r="I176" t="str">
            <v>Correct</v>
          </cell>
          <cell r="J176">
            <v>1.95</v>
          </cell>
          <cell r="K176" t="str">
            <v>Medium</v>
          </cell>
          <cell r="AB176">
            <v>1.85</v>
          </cell>
        </row>
        <row r="177">
          <cell r="B177" t="str">
            <v>Vikram Menon</v>
          </cell>
          <cell r="I177" t="str">
            <v>Wrong</v>
          </cell>
          <cell r="J177">
            <v>2.38</v>
          </cell>
          <cell r="K177" t="str">
            <v>High</v>
          </cell>
          <cell r="AB177">
            <v>0</v>
          </cell>
        </row>
        <row r="178">
          <cell r="B178" t="str">
            <v>Vikram Menon</v>
          </cell>
          <cell r="I178" t="str">
            <v>Wrong</v>
          </cell>
          <cell r="J178">
            <v>1.72</v>
          </cell>
          <cell r="K178" t="str">
            <v>High</v>
          </cell>
          <cell r="AB178">
            <v>0</v>
          </cell>
        </row>
        <row r="179">
          <cell r="B179" t="str">
            <v>Vikram Menon</v>
          </cell>
          <cell r="I179" t="str">
            <v>Wrong</v>
          </cell>
          <cell r="J179">
            <v>1.94</v>
          </cell>
          <cell r="K179" t="str">
            <v>High</v>
          </cell>
          <cell r="AB179">
            <v>0</v>
          </cell>
        </row>
        <row r="180">
          <cell r="B180" t="str">
            <v>Vikram Menon</v>
          </cell>
          <cell r="I180" t="str">
            <v>Wrong</v>
          </cell>
          <cell r="J180">
            <v>2.0499999999999998</v>
          </cell>
          <cell r="K180" t="str">
            <v>High</v>
          </cell>
          <cell r="AB180">
            <v>0</v>
          </cell>
        </row>
        <row r="181">
          <cell r="B181" t="str">
            <v>Vikram Menon</v>
          </cell>
          <cell r="I181" t="str">
            <v>Correct</v>
          </cell>
          <cell r="J181">
            <v>1.38</v>
          </cell>
          <cell r="K181" t="str">
            <v>High</v>
          </cell>
          <cell r="AB181">
            <v>3</v>
          </cell>
        </row>
        <row r="182">
          <cell r="B182" t="str">
            <v>Kavya Iyer</v>
          </cell>
          <cell r="I182" t="str">
            <v>Correct</v>
          </cell>
          <cell r="J182">
            <v>1.1499999999999999</v>
          </cell>
          <cell r="K182" t="str">
            <v>Low</v>
          </cell>
          <cell r="AB182">
            <v>2</v>
          </cell>
        </row>
        <row r="183">
          <cell r="B183" t="str">
            <v>Kavya Iyer</v>
          </cell>
          <cell r="I183" t="str">
            <v>Wrong</v>
          </cell>
          <cell r="J183">
            <v>1.38</v>
          </cell>
          <cell r="K183" t="str">
            <v>Low</v>
          </cell>
          <cell r="AB183">
            <v>0</v>
          </cell>
        </row>
        <row r="184">
          <cell r="B184" t="str">
            <v>Kavya Iyer</v>
          </cell>
          <cell r="I184" t="str">
            <v>Correct</v>
          </cell>
          <cell r="J184">
            <v>1.52</v>
          </cell>
          <cell r="K184" t="str">
            <v>Low</v>
          </cell>
          <cell r="AB184">
            <v>1.97</v>
          </cell>
        </row>
        <row r="185">
          <cell r="B185" t="str">
            <v>Kavya Iyer</v>
          </cell>
          <cell r="I185" t="str">
            <v>Correct</v>
          </cell>
          <cell r="J185">
            <v>1.25</v>
          </cell>
          <cell r="K185" t="str">
            <v>Low</v>
          </cell>
          <cell r="AB185">
            <v>1</v>
          </cell>
        </row>
        <row r="186">
          <cell r="B186" t="str">
            <v>Kavya Iyer</v>
          </cell>
          <cell r="I186" t="str">
            <v>Correct</v>
          </cell>
          <cell r="J186">
            <v>1.89</v>
          </cell>
          <cell r="K186" t="str">
            <v>Low</v>
          </cell>
          <cell r="AB186">
            <v>0.79</v>
          </cell>
        </row>
        <row r="187">
          <cell r="B187" t="str">
            <v>Kavya Iyer</v>
          </cell>
          <cell r="I187" t="str">
            <v>Correct</v>
          </cell>
          <cell r="J187">
            <v>1.62</v>
          </cell>
          <cell r="K187" t="str">
            <v>Low</v>
          </cell>
          <cell r="AB187">
            <v>1.85</v>
          </cell>
        </row>
        <row r="188">
          <cell r="B188" t="str">
            <v>Kavya Iyer</v>
          </cell>
          <cell r="I188" t="str">
            <v>Correct</v>
          </cell>
          <cell r="J188">
            <v>1.44</v>
          </cell>
          <cell r="K188" t="str">
            <v>Low</v>
          </cell>
          <cell r="AB188">
            <v>1</v>
          </cell>
        </row>
        <row r="189">
          <cell r="B189" t="str">
            <v>Kavya Iyer</v>
          </cell>
          <cell r="I189" t="str">
            <v>Wrong</v>
          </cell>
          <cell r="J189">
            <v>1.0900000000000001</v>
          </cell>
          <cell r="K189" t="str">
            <v>Low</v>
          </cell>
          <cell r="AB189">
            <v>0</v>
          </cell>
        </row>
        <row r="190">
          <cell r="B190" t="str">
            <v>Kavya Iyer</v>
          </cell>
          <cell r="I190" t="str">
            <v>Correct</v>
          </cell>
          <cell r="J190">
            <v>1.79</v>
          </cell>
          <cell r="K190" t="str">
            <v>Low</v>
          </cell>
          <cell r="AB190">
            <v>1.68</v>
          </cell>
        </row>
        <row r="191">
          <cell r="B191" t="str">
            <v>Kavya Iyer</v>
          </cell>
          <cell r="I191" t="str">
            <v>Correct</v>
          </cell>
          <cell r="J191">
            <v>1.36</v>
          </cell>
          <cell r="K191" t="str">
            <v>Medium</v>
          </cell>
          <cell r="AB191">
            <v>2</v>
          </cell>
        </row>
        <row r="192">
          <cell r="B192" t="str">
            <v>Kavya Iyer</v>
          </cell>
          <cell r="I192" t="str">
            <v>Wrong</v>
          </cell>
          <cell r="J192">
            <v>2.2000000000000002</v>
          </cell>
          <cell r="K192" t="str">
            <v>Medium</v>
          </cell>
          <cell r="AB192">
            <v>0</v>
          </cell>
        </row>
        <row r="193">
          <cell r="B193" t="str">
            <v>Kavya Iyer</v>
          </cell>
          <cell r="I193" t="str">
            <v>Wrong</v>
          </cell>
          <cell r="J193">
            <v>1.59</v>
          </cell>
          <cell r="K193" t="str">
            <v>Medium</v>
          </cell>
          <cell r="AB193">
            <v>0</v>
          </cell>
        </row>
        <row r="194">
          <cell r="B194" t="str">
            <v>Kavya Iyer</v>
          </cell>
          <cell r="I194" t="str">
            <v>Correct</v>
          </cell>
          <cell r="J194">
            <v>2.06</v>
          </cell>
          <cell r="K194" t="str">
            <v>Medium</v>
          </cell>
          <cell r="AB194">
            <v>1.75</v>
          </cell>
        </row>
        <row r="195">
          <cell r="B195" t="str">
            <v>Kavya Iyer</v>
          </cell>
          <cell r="I195" t="str">
            <v>Wrong</v>
          </cell>
          <cell r="J195">
            <v>1.36</v>
          </cell>
          <cell r="K195" t="str">
            <v>Medium</v>
          </cell>
          <cell r="AB195">
            <v>0</v>
          </cell>
        </row>
        <row r="196">
          <cell r="B196" t="str">
            <v>Kavya Iyer</v>
          </cell>
          <cell r="I196" t="str">
            <v>Correct</v>
          </cell>
          <cell r="J196">
            <v>1.63</v>
          </cell>
          <cell r="K196" t="str">
            <v>Medium</v>
          </cell>
          <cell r="AB196">
            <v>2</v>
          </cell>
        </row>
        <row r="197">
          <cell r="B197" t="str">
            <v>Kavya Iyer</v>
          </cell>
          <cell r="I197" t="str">
            <v>Wrong</v>
          </cell>
          <cell r="J197">
            <v>2.12</v>
          </cell>
          <cell r="K197" t="str">
            <v>High</v>
          </cell>
          <cell r="AB197">
            <v>0</v>
          </cell>
        </row>
        <row r="198">
          <cell r="B198" t="str">
            <v>Kavya Iyer</v>
          </cell>
          <cell r="I198" t="str">
            <v>Correct</v>
          </cell>
          <cell r="J198">
            <v>1.38</v>
          </cell>
          <cell r="K198" t="str">
            <v>High</v>
          </cell>
          <cell r="AB198">
            <v>3</v>
          </cell>
        </row>
        <row r="199">
          <cell r="B199" t="str">
            <v>Kavya Iyer</v>
          </cell>
          <cell r="I199" t="str">
            <v>Wrong</v>
          </cell>
          <cell r="J199">
            <v>1.66</v>
          </cell>
          <cell r="K199" t="str">
            <v>High</v>
          </cell>
          <cell r="AB199">
            <v>0</v>
          </cell>
        </row>
        <row r="200">
          <cell r="B200" t="str">
            <v>Kavya Iyer</v>
          </cell>
          <cell r="I200" t="str">
            <v>Correct</v>
          </cell>
          <cell r="J200">
            <v>1.36</v>
          </cell>
          <cell r="K200" t="str">
            <v>High</v>
          </cell>
          <cell r="AB200">
            <v>3</v>
          </cell>
        </row>
        <row r="201">
          <cell r="B201" t="str">
            <v>Kavya Iyer</v>
          </cell>
          <cell r="I201" t="str">
            <v>Wrong</v>
          </cell>
          <cell r="J201">
            <v>2.38</v>
          </cell>
          <cell r="K201" t="str">
            <v>High</v>
          </cell>
          <cell r="AB201">
            <v>0</v>
          </cell>
        </row>
        <row r="202">
          <cell r="B202" t="str">
            <v>Rohan Gupta</v>
          </cell>
          <cell r="I202" t="str">
            <v>Wrong</v>
          </cell>
          <cell r="J202">
            <v>1.7</v>
          </cell>
          <cell r="K202" t="str">
            <v>Low</v>
          </cell>
          <cell r="AB202">
            <v>0</v>
          </cell>
        </row>
        <row r="203">
          <cell r="B203" t="str">
            <v>Rohan Gupta</v>
          </cell>
          <cell r="I203" t="str">
            <v>Correct</v>
          </cell>
          <cell r="J203">
            <v>0.91</v>
          </cell>
          <cell r="K203" t="str">
            <v>Low</v>
          </cell>
          <cell r="AB203">
            <v>1</v>
          </cell>
        </row>
        <row r="204">
          <cell r="B204" t="str">
            <v>Rohan Gupta</v>
          </cell>
          <cell r="I204" t="str">
            <v>Correct</v>
          </cell>
          <cell r="J204">
            <v>1.51</v>
          </cell>
          <cell r="K204" t="str">
            <v>Low</v>
          </cell>
          <cell r="AB204">
            <v>1.99</v>
          </cell>
        </row>
        <row r="205">
          <cell r="B205" t="str">
            <v>Rohan Gupta</v>
          </cell>
          <cell r="I205" t="str">
            <v>Correct</v>
          </cell>
          <cell r="J205">
            <v>1.18</v>
          </cell>
          <cell r="K205" t="str">
            <v>Low</v>
          </cell>
          <cell r="AB205">
            <v>1</v>
          </cell>
        </row>
        <row r="206">
          <cell r="B206" t="str">
            <v>Rohan Gupta</v>
          </cell>
          <cell r="I206" t="str">
            <v>Correct</v>
          </cell>
          <cell r="J206">
            <v>1.27</v>
          </cell>
          <cell r="K206" t="str">
            <v>Low</v>
          </cell>
          <cell r="AB206">
            <v>1</v>
          </cell>
        </row>
        <row r="207">
          <cell r="B207" t="str">
            <v>Rohan Gupta</v>
          </cell>
          <cell r="I207" t="str">
            <v>Correct</v>
          </cell>
          <cell r="J207">
            <v>1.61</v>
          </cell>
          <cell r="K207" t="str">
            <v>Low</v>
          </cell>
          <cell r="AB207">
            <v>1.86</v>
          </cell>
        </row>
        <row r="208">
          <cell r="B208" t="str">
            <v>Rohan Gupta</v>
          </cell>
          <cell r="I208" t="str">
            <v>Correct</v>
          </cell>
          <cell r="J208">
            <v>1.36</v>
          </cell>
          <cell r="K208" t="str">
            <v>Low</v>
          </cell>
          <cell r="AB208">
            <v>1</v>
          </cell>
        </row>
        <row r="209">
          <cell r="B209" t="str">
            <v>Rohan Gupta</v>
          </cell>
          <cell r="I209" t="str">
            <v>Correct</v>
          </cell>
          <cell r="J209">
            <v>1.76</v>
          </cell>
          <cell r="K209" t="str">
            <v>Low</v>
          </cell>
          <cell r="AB209">
            <v>1.7</v>
          </cell>
        </row>
        <row r="210">
          <cell r="B210" t="str">
            <v>Rohan Gupta</v>
          </cell>
          <cell r="I210" t="str">
            <v>Correct</v>
          </cell>
          <cell r="J210">
            <v>1.42</v>
          </cell>
          <cell r="K210" t="str">
            <v>Low</v>
          </cell>
          <cell r="AB210">
            <v>2</v>
          </cell>
        </row>
        <row r="211">
          <cell r="B211" t="str">
            <v>Rohan Gupta</v>
          </cell>
          <cell r="I211" t="str">
            <v>Correct</v>
          </cell>
          <cell r="J211">
            <v>2.17</v>
          </cell>
          <cell r="K211" t="str">
            <v>Medium</v>
          </cell>
          <cell r="AB211">
            <v>1.66</v>
          </cell>
        </row>
        <row r="212">
          <cell r="B212" t="str">
            <v>Rohan Gupta</v>
          </cell>
          <cell r="I212" t="str">
            <v>Correct</v>
          </cell>
          <cell r="J212">
            <v>1.51</v>
          </cell>
          <cell r="K212" t="str">
            <v>Medium</v>
          </cell>
          <cell r="AB212">
            <v>2</v>
          </cell>
        </row>
        <row r="213">
          <cell r="B213" t="str">
            <v>Rohan Gupta</v>
          </cell>
          <cell r="I213" t="str">
            <v>Correct</v>
          </cell>
          <cell r="J213">
            <v>1.1399999999999999</v>
          </cell>
          <cell r="K213" t="str">
            <v>Medium</v>
          </cell>
          <cell r="AB213">
            <v>2</v>
          </cell>
        </row>
        <row r="214">
          <cell r="B214" t="str">
            <v>Rohan Gupta</v>
          </cell>
          <cell r="I214" t="str">
            <v>Wrong</v>
          </cell>
          <cell r="J214">
            <v>1.86</v>
          </cell>
          <cell r="K214" t="str">
            <v>Medium</v>
          </cell>
          <cell r="AB214">
            <v>0</v>
          </cell>
        </row>
        <row r="215">
          <cell r="B215" t="str">
            <v>Rohan Gupta</v>
          </cell>
          <cell r="I215" t="str">
            <v>Correct</v>
          </cell>
          <cell r="J215">
            <v>1.89</v>
          </cell>
          <cell r="K215" t="str">
            <v>Medium</v>
          </cell>
          <cell r="AB215">
            <v>1.9</v>
          </cell>
        </row>
        <row r="216">
          <cell r="B216" t="str">
            <v>Rohan Gupta</v>
          </cell>
          <cell r="I216" t="str">
            <v>Wrong</v>
          </cell>
          <cell r="J216">
            <v>1.49</v>
          </cell>
          <cell r="K216" t="str">
            <v>Medium</v>
          </cell>
          <cell r="AB216">
            <v>0</v>
          </cell>
        </row>
        <row r="217">
          <cell r="B217" t="str">
            <v>Rohan Gupta</v>
          </cell>
          <cell r="I217" t="str">
            <v>Wrong</v>
          </cell>
          <cell r="J217">
            <v>2.31</v>
          </cell>
          <cell r="K217" t="str">
            <v>High</v>
          </cell>
          <cell r="AB217">
            <v>0</v>
          </cell>
        </row>
        <row r="218">
          <cell r="B218" t="str">
            <v>Rohan Gupta</v>
          </cell>
          <cell r="I218" t="str">
            <v>Wrong</v>
          </cell>
          <cell r="J218">
            <v>1.59</v>
          </cell>
          <cell r="K218" t="str">
            <v>High</v>
          </cell>
          <cell r="AB218">
            <v>0</v>
          </cell>
        </row>
        <row r="219">
          <cell r="B219" t="str">
            <v>Rohan Gupta</v>
          </cell>
          <cell r="I219" t="str">
            <v>Correct</v>
          </cell>
          <cell r="J219">
            <v>2.08</v>
          </cell>
          <cell r="K219" t="str">
            <v>High</v>
          </cell>
          <cell r="AB219">
            <v>2.89</v>
          </cell>
        </row>
        <row r="220">
          <cell r="B220" t="str">
            <v>Rohan Gupta</v>
          </cell>
          <cell r="I220" t="str">
            <v>Wrong</v>
          </cell>
          <cell r="J220">
            <v>1.98</v>
          </cell>
          <cell r="K220" t="str">
            <v>High</v>
          </cell>
          <cell r="AB220">
            <v>0</v>
          </cell>
        </row>
        <row r="221">
          <cell r="B221" t="str">
            <v>Rohan Gupta</v>
          </cell>
          <cell r="I221" t="str">
            <v>Wrong</v>
          </cell>
          <cell r="J221">
            <v>1.95</v>
          </cell>
          <cell r="K221" t="str">
            <v>High</v>
          </cell>
          <cell r="AB221">
            <v>0</v>
          </cell>
        </row>
        <row r="222">
          <cell r="B222" t="str">
            <v>Meera Krishnan</v>
          </cell>
          <cell r="I222" t="str">
            <v>Wrong</v>
          </cell>
          <cell r="J222">
            <v>1.28</v>
          </cell>
          <cell r="K222" t="str">
            <v>Low</v>
          </cell>
          <cell r="AB222">
            <v>0</v>
          </cell>
        </row>
        <row r="223">
          <cell r="B223" t="str">
            <v>Meera Krishnan</v>
          </cell>
          <cell r="I223" t="str">
            <v>Correct</v>
          </cell>
          <cell r="J223">
            <v>1.28</v>
          </cell>
          <cell r="K223" t="str">
            <v>Low</v>
          </cell>
          <cell r="AB223">
            <v>1</v>
          </cell>
        </row>
        <row r="224">
          <cell r="B224" t="str">
            <v>Meera Krishnan</v>
          </cell>
          <cell r="I224" t="str">
            <v>Wrong</v>
          </cell>
          <cell r="J224">
            <v>1.43</v>
          </cell>
          <cell r="K224" t="str">
            <v>Low</v>
          </cell>
          <cell r="AB224">
            <v>0</v>
          </cell>
        </row>
        <row r="225">
          <cell r="B225" t="str">
            <v>Meera Krishnan</v>
          </cell>
          <cell r="I225" t="str">
            <v>Correct</v>
          </cell>
          <cell r="J225">
            <v>1.44</v>
          </cell>
          <cell r="K225" t="str">
            <v>Low</v>
          </cell>
          <cell r="AB225">
            <v>1</v>
          </cell>
        </row>
        <row r="226">
          <cell r="B226" t="str">
            <v>Meera Krishnan</v>
          </cell>
          <cell r="I226" t="str">
            <v>Correct</v>
          </cell>
          <cell r="J226">
            <v>1.26</v>
          </cell>
          <cell r="K226" t="str">
            <v>Low</v>
          </cell>
          <cell r="AB226">
            <v>1</v>
          </cell>
        </row>
        <row r="227">
          <cell r="B227" t="str">
            <v>Meera Krishnan</v>
          </cell>
          <cell r="I227" t="str">
            <v>Correct</v>
          </cell>
          <cell r="J227">
            <v>1.18</v>
          </cell>
          <cell r="K227" t="str">
            <v>Low</v>
          </cell>
          <cell r="AB227">
            <v>2</v>
          </cell>
        </row>
        <row r="228">
          <cell r="B228" t="str">
            <v>Meera Krishnan</v>
          </cell>
          <cell r="I228" t="str">
            <v>Correct</v>
          </cell>
          <cell r="J228">
            <v>1.61</v>
          </cell>
          <cell r="K228" t="str">
            <v>Low</v>
          </cell>
          <cell r="AB228">
            <v>0.93</v>
          </cell>
        </row>
        <row r="229">
          <cell r="B229" t="str">
            <v>Meera Krishnan</v>
          </cell>
          <cell r="I229" t="str">
            <v>Correct</v>
          </cell>
          <cell r="J229">
            <v>1.05</v>
          </cell>
          <cell r="K229" t="str">
            <v>Low</v>
          </cell>
          <cell r="AB229">
            <v>2</v>
          </cell>
        </row>
        <row r="230">
          <cell r="B230" t="str">
            <v>Meera Krishnan</v>
          </cell>
          <cell r="I230" t="str">
            <v>Correct</v>
          </cell>
          <cell r="J230">
            <v>1.43</v>
          </cell>
          <cell r="K230" t="str">
            <v>Low</v>
          </cell>
          <cell r="AB230">
            <v>2</v>
          </cell>
        </row>
        <row r="231">
          <cell r="B231" t="str">
            <v>Meera Krishnan</v>
          </cell>
          <cell r="I231" t="str">
            <v>Correct</v>
          </cell>
          <cell r="J231">
            <v>1.54</v>
          </cell>
          <cell r="K231" t="str">
            <v>Medium</v>
          </cell>
          <cell r="AB231">
            <v>2</v>
          </cell>
        </row>
        <row r="232">
          <cell r="B232" t="str">
            <v>Meera Krishnan</v>
          </cell>
          <cell r="I232" t="str">
            <v>Correct</v>
          </cell>
          <cell r="J232">
            <v>2.1</v>
          </cell>
          <cell r="K232" t="str">
            <v>Medium</v>
          </cell>
          <cell r="AB232">
            <v>1.71</v>
          </cell>
        </row>
        <row r="233">
          <cell r="B233" t="str">
            <v>Meera Krishnan</v>
          </cell>
          <cell r="I233" t="str">
            <v>Correct</v>
          </cell>
          <cell r="J233">
            <v>1.66</v>
          </cell>
          <cell r="K233" t="str">
            <v>Medium</v>
          </cell>
          <cell r="AB233">
            <v>2</v>
          </cell>
        </row>
        <row r="234">
          <cell r="B234" t="str">
            <v>Meera Krishnan</v>
          </cell>
          <cell r="I234" t="str">
            <v>Correct</v>
          </cell>
          <cell r="J234">
            <v>1.54</v>
          </cell>
          <cell r="K234" t="str">
            <v>Medium</v>
          </cell>
          <cell r="AB234">
            <v>2</v>
          </cell>
        </row>
        <row r="235">
          <cell r="B235" t="str">
            <v>Meera Krishnan</v>
          </cell>
          <cell r="I235" t="str">
            <v>Wrong</v>
          </cell>
          <cell r="J235">
            <v>2.11</v>
          </cell>
          <cell r="K235" t="str">
            <v>Medium</v>
          </cell>
          <cell r="AB235">
            <v>0</v>
          </cell>
        </row>
        <row r="236">
          <cell r="B236" t="str">
            <v>Meera Krishnan</v>
          </cell>
          <cell r="I236" t="str">
            <v>Correct</v>
          </cell>
          <cell r="J236">
            <v>1.58</v>
          </cell>
          <cell r="K236" t="str">
            <v>Medium</v>
          </cell>
          <cell r="AB236">
            <v>2</v>
          </cell>
        </row>
        <row r="237">
          <cell r="B237" t="str">
            <v>Meera Krishnan</v>
          </cell>
          <cell r="I237" t="str">
            <v>Correct</v>
          </cell>
          <cell r="J237">
            <v>1.51</v>
          </cell>
          <cell r="K237" t="str">
            <v>High</v>
          </cell>
          <cell r="AB237">
            <v>3</v>
          </cell>
        </row>
        <row r="238">
          <cell r="B238" t="str">
            <v>Meera Krishnan</v>
          </cell>
          <cell r="I238" t="str">
            <v>Correct</v>
          </cell>
          <cell r="J238">
            <v>1.28</v>
          </cell>
          <cell r="K238" t="str">
            <v>High</v>
          </cell>
          <cell r="AB238">
            <v>3</v>
          </cell>
        </row>
        <row r="239">
          <cell r="B239" t="str">
            <v>Meera Krishnan</v>
          </cell>
          <cell r="I239" t="str">
            <v>Correct</v>
          </cell>
          <cell r="J239">
            <v>1.78</v>
          </cell>
          <cell r="K239" t="str">
            <v>High</v>
          </cell>
          <cell r="AB239">
            <v>3</v>
          </cell>
        </row>
        <row r="240">
          <cell r="B240" t="str">
            <v>Meera Krishnan</v>
          </cell>
          <cell r="I240" t="str">
            <v>Wrong</v>
          </cell>
          <cell r="J240">
            <v>2.2200000000000002</v>
          </cell>
          <cell r="K240" t="str">
            <v>High</v>
          </cell>
          <cell r="AB240">
            <v>0</v>
          </cell>
        </row>
        <row r="241">
          <cell r="B241" t="str">
            <v>Meera Krishnan</v>
          </cell>
          <cell r="I241" t="str">
            <v>Correct</v>
          </cell>
          <cell r="J241">
            <v>2.1</v>
          </cell>
          <cell r="K241" t="str">
            <v>High</v>
          </cell>
          <cell r="AB241">
            <v>2.86</v>
          </cell>
        </row>
        <row r="242">
          <cell r="B242" t="str">
            <v>Karthik Raj</v>
          </cell>
          <cell r="I242" t="str">
            <v>Correct</v>
          </cell>
          <cell r="J242">
            <v>1.1599999999999999</v>
          </cell>
          <cell r="K242" t="str">
            <v>Low</v>
          </cell>
          <cell r="AB242">
            <v>2</v>
          </cell>
        </row>
        <row r="243">
          <cell r="B243" t="str">
            <v>Karthik Raj</v>
          </cell>
          <cell r="I243" t="str">
            <v>Correct</v>
          </cell>
          <cell r="J243">
            <v>1.37</v>
          </cell>
          <cell r="K243" t="str">
            <v>Low</v>
          </cell>
          <cell r="AB243">
            <v>1</v>
          </cell>
        </row>
        <row r="244">
          <cell r="B244" t="str">
            <v>Karthik Raj</v>
          </cell>
          <cell r="I244" t="str">
            <v>Correct</v>
          </cell>
          <cell r="J244">
            <v>1.84</v>
          </cell>
          <cell r="K244" t="str">
            <v>Low</v>
          </cell>
          <cell r="AB244">
            <v>1.63</v>
          </cell>
        </row>
        <row r="245">
          <cell r="B245" t="str">
            <v>Karthik Raj</v>
          </cell>
          <cell r="I245" t="str">
            <v>Correct</v>
          </cell>
          <cell r="J245">
            <v>1.04</v>
          </cell>
          <cell r="K245" t="str">
            <v>Low</v>
          </cell>
          <cell r="AB245">
            <v>1</v>
          </cell>
        </row>
        <row r="246">
          <cell r="B246" t="str">
            <v>Karthik Raj</v>
          </cell>
          <cell r="I246" t="str">
            <v>Correct</v>
          </cell>
          <cell r="J246">
            <v>1.1299999999999999</v>
          </cell>
          <cell r="K246" t="str">
            <v>Low</v>
          </cell>
          <cell r="AB246">
            <v>1</v>
          </cell>
        </row>
        <row r="247">
          <cell r="B247" t="str">
            <v>Karthik Raj</v>
          </cell>
          <cell r="I247" t="str">
            <v>Correct</v>
          </cell>
          <cell r="J247">
            <v>1.85</v>
          </cell>
          <cell r="K247" t="str">
            <v>Low</v>
          </cell>
          <cell r="AB247">
            <v>1.62</v>
          </cell>
        </row>
        <row r="248">
          <cell r="B248" t="str">
            <v>Karthik Raj</v>
          </cell>
          <cell r="I248" t="str">
            <v>Correct</v>
          </cell>
          <cell r="J248">
            <v>1.75</v>
          </cell>
          <cell r="K248" t="str">
            <v>Low</v>
          </cell>
          <cell r="AB248">
            <v>0.86</v>
          </cell>
        </row>
        <row r="249">
          <cell r="B249" t="str">
            <v>Karthik Raj</v>
          </cell>
          <cell r="I249" t="str">
            <v>Wrong</v>
          </cell>
          <cell r="J249">
            <v>1.44</v>
          </cell>
          <cell r="K249" t="str">
            <v>Low</v>
          </cell>
          <cell r="AB249">
            <v>0</v>
          </cell>
        </row>
        <row r="250">
          <cell r="B250" t="str">
            <v>Karthik Raj</v>
          </cell>
          <cell r="I250" t="str">
            <v>Correct</v>
          </cell>
          <cell r="J250">
            <v>1.51</v>
          </cell>
          <cell r="K250" t="str">
            <v>Low</v>
          </cell>
          <cell r="AB250">
            <v>1.99</v>
          </cell>
        </row>
        <row r="251">
          <cell r="B251" t="str">
            <v>Karthik Raj</v>
          </cell>
          <cell r="I251" t="str">
            <v>Wrong</v>
          </cell>
          <cell r="J251">
            <v>1.54</v>
          </cell>
          <cell r="K251" t="str">
            <v>Medium</v>
          </cell>
          <cell r="AB251">
            <v>0</v>
          </cell>
        </row>
        <row r="252">
          <cell r="B252" t="str">
            <v>Karthik Raj</v>
          </cell>
          <cell r="I252" t="str">
            <v>Wrong</v>
          </cell>
          <cell r="J252">
            <v>1.57</v>
          </cell>
          <cell r="K252" t="str">
            <v>Medium</v>
          </cell>
          <cell r="AB252">
            <v>0</v>
          </cell>
        </row>
        <row r="253">
          <cell r="B253" t="str">
            <v>Karthik Raj</v>
          </cell>
          <cell r="I253" t="str">
            <v>Correct</v>
          </cell>
          <cell r="J253">
            <v>1.84</v>
          </cell>
          <cell r="K253" t="str">
            <v>Medium</v>
          </cell>
          <cell r="AB253">
            <v>1.96</v>
          </cell>
        </row>
        <row r="254">
          <cell r="B254" t="str">
            <v>Karthik Raj</v>
          </cell>
          <cell r="I254" t="str">
            <v>Correct</v>
          </cell>
          <cell r="J254">
            <v>1.75</v>
          </cell>
          <cell r="K254" t="str">
            <v>Medium</v>
          </cell>
          <cell r="AB254">
            <v>2</v>
          </cell>
        </row>
        <row r="255">
          <cell r="B255" t="str">
            <v>Karthik Raj</v>
          </cell>
          <cell r="I255" t="str">
            <v>Wrong</v>
          </cell>
          <cell r="J255">
            <v>1.83</v>
          </cell>
          <cell r="K255" t="str">
            <v>Medium</v>
          </cell>
          <cell r="AB255">
            <v>0</v>
          </cell>
        </row>
        <row r="256">
          <cell r="B256" t="str">
            <v>Karthik Raj</v>
          </cell>
          <cell r="I256" t="str">
            <v>Wrong</v>
          </cell>
          <cell r="J256">
            <v>2.2799999999999998</v>
          </cell>
          <cell r="K256" t="str">
            <v>Medium</v>
          </cell>
          <cell r="AB256">
            <v>0</v>
          </cell>
        </row>
        <row r="257">
          <cell r="B257" t="str">
            <v>Karthik Raj</v>
          </cell>
          <cell r="I257" t="str">
            <v>Wrong</v>
          </cell>
          <cell r="J257">
            <v>1.4</v>
          </cell>
          <cell r="K257" t="str">
            <v>High</v>
          </cell>
          <cell r="AB257">
            <v>0</v>
          </cell>
        </row>
        <row r="258">
          <cell r="B258" t="str">
            <v>Karthik Raj</v>
          </cell>
          <cell r="I258" t="str">
            <v>Wrong</v>
          </cell>
          <cell r="J258">
            <v>2</v>
          </cell>
          <cell r="K258" t="str">
            <v>High</v>
          </cell>
          <cell r="AB258">
            <v>0</v>
          </cell>
        </row>
        <row r="259">
          <cell r="B259" t="str">
            <v>Karthik Raj</v>
          </cell>
          <cell r="I259" t="str">
            <v>Correct</v>
          </cell>
          <cell r="J259">
            <v>2.3199999999999998</v>
          </cell>
          <cell r="K259" t="str">
            <v>High</v>
          </cell>
          <cell r="AB259">
            <v>2.59</v>
          </cell>
        </row>
        <row r="260">
          <cell r="B260" t="str">
            <v>Karthik Raj</v>
          </cell>
          <cell r="I260" t="str">
            <v>Wrong</v>
          </cell>
          <cell r="J260">
            <v>1.59</v>
          </cell>
          <cell r="K260" t="str">
            <v>High</v>
          </cell>
          <cell r="AB260">
            <v>0</v>
          </cell>
        </row>
        <row r="261">
          <cell r="B261" t="str">
            <v>Karthik Raj</v>
          </cell>
          <cell r="I261" t="str">
            <v>Correct</v>
          </cell>
          <cell r="J261">
            <v>1.62</v>
          </cell>
          <cell r="K261" t="str">
            <v>High</v>
          </cell>
          <cell r="AB261">
            <v>3</v>
          </cell>
        </row>
        <row r="262">
          <cell r="B262" t="str">
            <v>Pooja Mishra</v>
          </cell>
          <cell r="I262" t="str">
            <v>Correct</v>
          </cell>
          <cell r="J262">
            <v>1.46</v>
          </cell>
          <cell r="K262" t="str">
            <v>Low</v>
          </cell>
          <cell r="AB262">
            <v>2</v>
          </cell>
        </row>
        <row r="263">
          <cell r="B263" t="str">
            <v>Pooja Mishra</v>
          </cell>
          <cell r="I263" t="str">
            <v>Wrong</v>
          </cell>
          <cell r="J263">
            <v>0.91</v>
          </cell>
          <cell r="K263" t="str">
            <v>Low</v>
          </cell>
          <cell r="AB263">
            <v>0</v>
          </cell>
        </row>
        <row r="264">
          <cell r="B264" t="str">
            <v>Pooja Mishra</v>
          </cell>
          <cell r="I264" t="str">
            <v>Wrong</v>
          </cell>
          <cell r="J264">
            <v>1.29</v>
          </cell>
          <cell r="K264" t="str">
            <v>Low</v>
          </cell>
          <cell r="AB264">
            <v>0</v>
          </cell>
        </row>
        <row r="265">
          <cell r="B265" t="str">
            <v>Pooja Mishra</v>
          </cell>
          <cell r="I265" t="str">
            <v>Correct</v>
          </cell>
          <cell r="J265">
            <v>1.83</v>
          </cell>
          <cell r="K265" t="str">
            <v>Low</v>
          </cell>
          <cell r="AB265">
            <v>0.82</v>
          </cell>
        </row>
        <row r="266">
          <cell r="B266" t="str">
            <v>Pooja Mishra</v>
          </cell>
          <cell r="I266" t="str">
            <v>Correct</v>
          </cell>
          <cell r="J266">
            <v>1.67</v>
          </cell>
          <cell r="K266" t="str">
            <v>Low</v>
          </cell>
          <cell r="AB266">
            <v>0.9</v>
          </cell>
        </row>
        <row r="267">
          <cell r="B267" t="str">
            <v>Pooja Mishra</v>
          </cell>
          <cell r="I267" t="str">
            <v>Wrong</v>
          </cell>
          <cell r="J267">
            <v>1.26</v>
          </cell>
          <cell r="K267" t="str">
            <v>Low</v>
          </cell>
          <cell r="AB267">
            <v>0</v>
          </cell>
        </row>
        <row r="268">
          <cell r="B268" t="str">
            <v>Pooja Mishra</v>
          </cell>
          <cell r="I268" t="str">
            <v>Wrong</v>
          </cell>
          <cell r="J268">
            <v>1.08</v>
          </cell>
          <cell r="K268" t="str">
            <v>Low</v>
          </cell>
          <cell r="AB268">
            <v>0</v>
          </cell>
        </row>
        <row r="269">
          <cell r="B269" t="str">
            <v>Pooja Mishra</v>
          </cell>
          <cell r="I269" t="str">
            <v>Wrong</v>
          </cell>
          <cell r="J269">
            <v>1.86</v>
          </cell>
          <cell r="K269" t="str">
            <v>Low</v>
          </cell>
          <cell r="AB269">
            <v>0</v>
          </cell>
        </row>
        <row r="270">
          <cell r="B270" t="str">
            <v>Pooja Mishra</v>
          </cell>
          <cell r="I270" t="str">
            <v>Correct</v>
          </cell>
          <cell r="J270">
            <v>1</v>
          </cell>
          <cell r="K270" t="str">
            <v>Low</v>
          </cell>
          <cell r="AB270">
            <v>2</v>
          </cell>
        </row>
        <row r="271">
          <cell r="B271" t="str">
            <v>Pooja Mishra</v>
          </cell>
          <cell r="I271" t="str">
            <v>Wrong</v>
          </cell>
          <cell r="J271">
            <v>1.62</v>
          </cell>
          <cell r="K271" t="str">
            <v>Medium</v>
          </cell>
          <cell r="AB271">
            <v>0</v>
          </cell>
        </row>
        <row r="272">
          <cell r="B272" t="str">
            <v>Pooja Mishra</v>
          </cell>
          <cell r="I272" t="str">
            <v>Wrong</v>
          </cell>
          <cell r="J272">
            <v>1.39</v>
          </cell>
          <cell r="K272" t="str">
            <v>Medium</v>
          </cell>
          <cell r="AB272">
            <v>0</v>
          </cell>
        </row>
        <row r="273">
          <cell r="B273" t="str">
            <v>Pooja Mishra</v>
          </cell>
          <cell r="I273" t="str">
            <v>Wrong</v>
          </cell>
          <cell r="J273">
            <v>2.2599999999999998</v>
          </cell>
          <cell r="K273" t="str">
            <v>Medium</v>
          </cell>
          <cell r="AB273">
            <v>0</v>
          </cell>
        </row>
        <row r="274">
          <cell r="B274" t="str">
            <v>Pooja Mishra</v>
          </cell>
          <cell r="I274" t="str">
            <v>Correct</v>
          </cell>
          <cell r="J274">
            <v>1.36</v>
          </cell>
          <cell r="K274" t="str">
            <v>Medium</v>
          </cell>
          <cell r="AB274">
            <v>2</v>
          </cell>
        </row>
        <row r="275">
          <cell r="B275" t="str">
            <v>Pooja Mishra</v>
          </cell>
          <cell r="I275" t="str">
            <v>Wrong</v>
          </cell>
          <cell r="J275">
            <v>1.74</v>
          </cell>
          <cell r="K275" t="str">
            <v>Medium</v>
          </cell>
          <cell r="AB275">
            <v>0</v>
          </cell>
        </row>
        <row r="276">
          <cell r="B276" t="str">
            <v>Pooja Mishra</v>
          </cell>
          <cell r="I276" t="str">
            <v>Wrong</v>
          </cell>
          <cell r="J276">
            <v>1.97</v>
          </cell>
          <cell r="K276" t="str">
            <v>Medium</v>
          </cell>
          <cell r="AB276">
            <v>0</v>
          </cell>
        </row>
        <row r="277">
          <cell r="B277" t="str">
            <v>Pooja Mishra</v>
          </cell>
          <cell r="I277" t="str">
            <v>Correct</v>
          </cell>
          <cell r="J277">
            <v>1.84</v>
          </cell>
          <cell r="K277" t="str">
            <v>High</v>
          </cell>
          <cell r="AB277">
            <v>3</v>
          </cell>
        </row>
        <row r="278">
          <cell r="B278" t="str">
            <v>Pooja Mishra</v>
          </cell>
          <cell r="I278" t="str">
            <v>Wrong</v>
          </cell>
          <cell r="J278">
            <v>2.19</v>
          </cell>
          <cell r="K278" t="str">
            <v>High</v>
          </cell>
          <cell r="AB278">
            <v>0</v>
          </cell>
        </row>
        <row r="279">
          <cell r="B279" t="str">
            <v>Pooja Mishra</v>
          </cell>
          <cell r="I279" t="str">
            <v>Wrong</v>
          </cell>
          <cell r="J279">
            <v>2.08</v>
          </cell>
          <cell r="K279" t="str">
            <v>High</v>
          </cell>
          <cell r="AB279">
            <v>0</v>
          </cell>
        </row>
        <row r="280">
          <cell r="B280" t="str">
            <v>Pooja Mishra</v>
          </cell>
          <cell r="I280" t="str">
            <v>Wrong</v>
          </cell>
          <cell r="J280">
            <v>2.5099999999999998</v>
          </cell>
          <cell r="K280" t="str">
            <v>High</v>
          </cell>
          <cell r="AB280">
            <v>0</v>
          </cell>
        </row>
        <row r="281">
          <cell r="B281" t="str">
            <v>Pooja Mishra</v>
          </cell>
          <cell r="I281" t="str">
            <v>Correct</v>
          </cell>
          <cell r="J281">
            <v>1.98</v>
          </cell>
          <cell r="K281" t="str">
            <v>High</v>
          </cell>
          <cell r="AB281">
            <v>3</v>
          </cell>
        </row>
        <row r="282">
          <cell r="B282" t="str">
            <v>Sanjay Pillai</v>
          </cell>
          <cell r="I282" t="str">
            <v>Correct</v>
          </cell>
          <cell r="J282">
            <v>1.82</v>
          </cell>
          <cell r="K282" t="str">
            <v>Low</v>
          </cell>
          <cell r="AB282">
            <v>1.65</v>
          </cell>
        </row>
        <row r="283">
          <cell r="B283" t="str">
            <v>Sanjay Pillai</v>
          </cell>
          <cell r="I283" t="str">
            <v>Correct</v>
          </cell>
          <cell r="J283">
            <v>1.44</v>
          </cell>
          <cell r="K283" t="str">
            <v>Low</v>
          </cell>
          <cell r="AB283">
            <v>1</v>
          </cell>
        </row>
        <row r="284">
          <cell r="B284" t="str">
            <v>Sanjay Pillai</v>
          </cell>
          <cell r="I284" t="str">
            <v>Correct</v>
          </cell>
          <cell r="J284">
            <v>1.05</v>
          </cell>
          <cell r="K284" t="str">
            <v>Low</v>
          </cell>
          <cell r="AB284">
            <v>2</v>
          </cell>
        </row>
        <row r="285">
          <cell r="B285" t="str">
            <v>Sanjay Pillai</v>
          </cell>
          <cell r="I285" t="str">
            <v>Correct</v>
          </cell>
          <cell r="J285">
            <v>1.77</v>
          </cell>
          <cell r="K285" t="str">
            <v>Low</v>
          </cell>
          <cell r="AB285">
            <v>0.85</v>
          </cell>
        </row>
        <row r="286">
          <cell r="B286" t="str">
            <v>Sanjay Pillai</v>
          </cell>
          <cell r="I286" t="str">
            <v>Wrong</v>
          </cell>
          <cell r="J286">
            <v>1.1399999999999999</v>
          </cell>
          <cell r="K286" t="str">
            <v>Low</v>
          </cell>
          <cell r="AB286">
            <v>0</v>
          </cell>
        </row>
        <row r="287">
          <cell r="B287" t="str">
            <v>Sanjay Pillai</v>
          </cell>
          <cell r="I287" t="str">
            <v>Correct</v>
          </cell>
          <cell r="J287">
            <v>1.29</v>
          </cell>
          <cell r="K287" t="str">
            <v>Low</v>
          </cell>
          <cell r="AB287">
            <v>2</v>
          </cell>
        </row>
        <row r="288">
          <cell r="B288" t="str">
            <v>Sanjay Pillai</v>
          </cell>
          <cell r="I288" t="str">
            <v>Correct</v>
          </cell>
          <cell r="J288">
            <v>1.32</v>
          </cell>
          <cell r="K288" t="str">
            <v>Low</v>
          </cell>
          <cell r="AB288">
            <v>1</v>
          </cell>
        </row>
        <row r="289">
          <cell r="B289" t="str">
            <v>Sanjay Pillai</v>
          </cell>
          <cell r="I289" t="str">
            <v>Correct</v>
          </cell>
          <cell r="J289">
            <v>1.6</v>
          </cell>
          <cell r="K289" t="str">
            <v>Low</v>
          </cell>
          <cell r="AB289">
            <v>1.88</v>
          </cell>
        </row>
        <row r="290">
          <cell r="B290" t="str">
            <v>Sanjay Pillai</v>
          </cell>
          <cell r="I290" t="str">
            <v>Correct</v>
          </cell>
          <cell r="J290">
            <v>0.95</v>
          </cell>
          <cell r="K290" t="str">
            <v>Low</v>
          </cell>
          <cell r="AB290">
            <v>2</v>
          </cell>
        </row>
        <row r="291">
          <cell r="B291" t="str">
            <v>Sanjay Pillai</v>
          </cell>
          <cell r="I291" t="str">
            <v>Wrong</v>
          </cell>
          <cell r="J291">
            <v>1.9</v>
          </cell>
          <cell r="K291" t="str">
            <v>Medium</v>
          </cell>
          <cell r="AB291">
            <v>0</v>
          </cell>
        </row>
        <row r="292">
          <cell r="B292" t="str">
            <v>Sanjay Pillai</v>
          </cell>
          <cell r="I292" t="str">
            <v>Wrong</v>
          </cell>
          <cell r="J292">
            <v>2.0099999999999998</v>
          </cell>
          <cell r="K292" t="str">
            <v>Medium</v>
          </cell>
          <cell r="AB292">
            <v>0</v>
          </cell>
        </row>
        <row r="293">
          <cell r="B293" t="str">
            <v>Sanjay Pillai</v>
          </cell>
          <cell r="I293" t="str">
            <v>Correct</v>
          </cell>
          <cell r="J293">
            <v>2.2599999999999998</v>
          </cell>
          <cell r="K293" t="str">
            <v>Medium</v>
          </cell>
          <cell r="AB293">
            <v>1.59</v>
          </cell>
        </row>
        <row r="294">
          <cell r="B294" t="str">
            <v>Sanjay Pillai</v>
          </cell>
          <cell r="I294" t="str">
            <v>Wrong</v>
          </cell>
          <cell r="J294">
            <v>1.65</v>
          </cell>
          <cell r="K294" t="str">
            <v>Medium</v>
          </cell>
          <cell r="AB294">
            <v>0</v>
          </cell>
        </row>
        <row r="295">
          <cell r="B295" t="str">
            <v>Sanjay Pillai</v>
          </cell>
          <cell r="I295" t="str">
            <v>Correct</v>
          </cell>
          <cell r="J295">
            <v>1.52</v>
          </cell>
          <cell r="K295" t="str">
            <v>Medium</v>
          </cell>
          <cell r="AB295">
            <v>2</v>
          </cell>
        </row>
        <row r="296">
          <cell r="B296" t="str">
            <v>Sanjay Pillai</v>
          </cell>
          <cell r="I296" t="str">
            <v>Wrong</v>
          </cell>
          <cell r="J296">
            <v>2.09</v>
          </cell>
          <cell r="K296" t="str">
            <v>Medium</v>
          </cell>
          <cell r="AB296">
            <v>0</v>
          </cell>
        </row>
        <row r="297">
          <cell r="B297" t="str">
            <v>Sanjay Pillai</v>
          </cell>
          <cell r="I297" t="str">
            <v>Wrong</v>
          </cell>
          <cell r="J297">
            <v>2.34</v>
          </cell>
          <cell r="K297" t="str">
            <v>High</v>
          </cell>
          <cell r="AB297">
            <v>0</v>
          </cell>
        </row>
        <row r="298">
          <cell r="B298" t="str">
            <v>Sanjay Pillai</v>
          </cell>
          <cell r="I298" t="str">
            <v>Correct</v>
          </cell>
          <cell r="J298">
            <v>1.62</v>
          </cell>
          <cell r="K298" t="str">
            <v>High</v>
          </cell>
          <cell r="AB298">
            <v>3</v>
          </cell>
        </row>
        <row r="299">
          <cell r="B299" t="str">
            <v>Sanjay Pillai</v>
          </cell>
          <cell r="I299" t="str">
            <v>Correct</v>
          </cell>
          <cell r="J299">
            <v>1.31</v>
          </cell>
          <cell r="K299" t="str">
            <v>High</v>
          </cell>
          <cell r="AB299">
            <v>3</v>
          </cell>
        </row>
        <row r="300">
          <cell r="B300" t="str">
            <v>Sanjay Pillai</v>
          </cell>
          <cell r="I300" t="str">
            <v>Correct</v>
          </cell>
          <cell r="J300">
            <v>1.26</v>
          </cell>
          <cell r="K300" t="str">
            <v>High</v>
          </cell>
          <cell r="AB300">
            <v>3</v>
          </cell>
        </row>
        <row r="301">
          <cell r="B301" t="str">
            <v>Sanjay Pillai</v>
          </cell>
          <cell r="I301" t="str">
            <v>Correct</v>
          </cell>
          <cell r="J301">
            <v>1.94</v>
          </cell>
          <cell r="K301" t="str">
            <v>High</v>
          </cell>
          <cell r="AB301">
            <v>3</v>
          </cell>
        </row>
        <row r="302">
          <cell r="B302" t="str">
            <v>Divya Rao</v>
          </cell>
          <cell r="I302" t="str">
            <v>Correct</v>
          </cell>
          <cell r="J302">
            <v>1.24</v>
          </cell>
          <cell r="K302" t="str">
            <v>Low</v>
          </cell>
          <cell r="AB302">
            <v>2</v>
          </cell>
        </row>
        <row r="303">
          <cell r="B303" t="str">
            <v>Divya Rao</v>
          </cell>
          <cell r="I303" t="str">
            <v>Correct</v>
          </cell>
          <cell r="J303">
            <v>1.42</v>
          </cell>
          <cell r="K303" t="str">
            <v>Low</v>
          </cell>
          <cell r="AB303">
            <v>1</v>
          </cell>
        </row>
        <row r="304">
          <cell r="B304" t="str">
            <v>Divya Rao</v>
          </cell>
          <cell r="I304" t="str">
            <v>Wrong</v>
          </cell>
          <cell r="J304">
            <v>1.69</v>
          </cell>
          <cell r="K304" t="str">
            <v>Low</v>
          </cell>
          <cell r="AB304">
            <v>0</v>
          </cell>
        </row>
        <row r="305">
          <cell r="B305" t="str">
            <v>Divya Rao</v>
          </cell>
          <cell r="I305" t="str">
            <v>Correct</v>
          </cell>
          <cell r="J305">
            <v>1.42</v>
          </cell>
          <cell r="K305" t="str">
            <v>Low</v>
          </cell>
          <cell r="AB305">
            <v>1</v>
          </cell>
        </row>
        <row r="306">
          <cell r="B306" t="str">
            <v>Divya Rao</v>
          </cell>
          <cell r="I306" t="str">
            <v>Correct</v>
          </cell>
          <cell r="J306">
            <v>1.17</v>
          </cell>
          <cell r="K306" t="str">
            <v>Low</v>
          </cell>
          <cell r="AB306">
            <v>1</v>
          </cell>
        </row>
        <row r="307">
          <cell r="B307" t="str">
            <v>Divya Rao</v>
          </cell>
          <cell r="I307" t="str">
            <v>Correct</v>
          </cell>
          <cell r="J307">
            <v>1.1599999999999999</v>
          </cell>
          <cell r="K307" t="str">
            <v>Low</v>
          </cell>
          <cell r="AB307">
            <v>2</v>
          </cell>
        </row>
        <row r="308">
          <cell r="B308" t="str">
            <v>Divya Rao</v>
          </cell>
          <cell r="I308" t="str">
            <v>Correct</v>
          </cell>
          <cell r="J308">
            <v>1.85</v>
          </cell>
          <cell r="K308" t="str">
            <v>Low</v>
          </cell>
          <cell r="AB308">
            <v>0.81</v>
          </cell>
        </row>
        <row r="309">
          <cell r="B309" t="str">
            <v>Divya Rao</v>
          </cell>
          <cell r="I309" t="str">
            <v>Correct</v>
          </cell>
          <cell r="J309">
            <v>1.24</v>
          </cell>
          <cell r="K309" t="str">
            <v>Low</v>
          </cell>
          <cell r="AB309">
            <v>2</v>
          </cell>
        </row>
        <row r="310">
          <cell r="B310" t="str">
            <v>Divya Rao</v>
          </cell>
          <cell r="I310" t="str">
            <v>Correct</v>
          </cell>
          <cell r="J310">
            <v>0.95</v>
          </cell>
          <cell r="K310" t="str">
            <v>Low</v>
          </cell>
          <cell r="AB310">
            <v>2</v>
          </cell>
        </row>
        <row r="311">
          <cell r="B311" t="str">
            <v>Divya Rao</v>
          </cell>
          <cell r="I311" t="str">
            <v>Correct</v>
          </cell>
          <cell r="J311">
            <v>1.4</v>
          </cell>
          <cell r="K311" t="str">
            <v>Medium</v>
          </cell>
          <cell r="AB311">
            <v>2</v>
          </cell>
        </row>
        <row r="312">
          <cell r="B312" t="str">
            <v>Divya Rao</v>
          </cell>
          <cell r="I312" t="str">
            <v>Correct</v>
          </cell>
          <cell r="J312">
            <v>1.32</v>
          </cell>
          <cell r="K312" t="str">
            <v>Medium</v>
          </cell>
          <cell r="AB312">
            <v>2</v>
          </cell>
        </row>
        <row r="313">
          <cell r="B313" t="str">
            <v>Divya Rao</v>
          </cell>
          <cell r="I313" t="str">
            <v>Correct</v>
          </cell>
          <cell r="J313">
            <v>1.33</v>
          </cell>
          <cell r="K313" t="str">
            <v>Medium</v>
          </cell>
          <cell r="AB313">
            <v>2</v>
          </cell>
        </row>
        <row r="314">
          <cell r="B314" t="str">
            <v>Divya Rao</v>
          </cell>
          <cell r="I314" t="str">
            <v>Correct</v>
          </cell>
          <cell r="J314">
            <v>1.24</v>
          </cell>
          <cell r="K314" t="str">
            <v>Medium</v>
          </cell>
          <cell r="AB314">
            <v>2</v>
          </cell>
        </row>
        <row r="315">
          <cell r="B315" t="str">
            <v>Divya Rao</v>
          </cell>
          <cell r="I315" t="str">
            <v>Wrong</v>
          </cell>
          <cell r="J315">
            <v>1.81</v>
          </cell>
          <cell r="K315" t="str">
            <v>Medium</v>
          </cell>
          <cell r="AB315">
            <v>0</v>
          </cell>
        </row>
        <row r="316">
          <cell r="B316" t="str">
            <v>Divya Rao</v>
          </cell>
          <cell r="I316" t="str">
            <v>Correct</v>
          </cell>
          <cell r="J316">
            <v>1.68</v>
          </cell>
          <cell r="K316" t="str">
            <v>Medium</v>
          </cell>
          <cell r="AB316">
            <v>2</v>
          </cell>
        </row>
        <row r="317">
          <cell r="B317" t="str">
            <v>Divya Rao</v>
          </cell>
          <cell r="I317" t="str">
            <v>Correct</v>
          </cell>
          <cell r="J317">
            <v>1.22</v>
          </cell>
          <cell r="K317" t="str">
            <v>High</v>
          </cell>
          <cell r="AB317">
            <v>3</v>
          </cell>
        </row>
        <row r="318">
          <cell r="B318" t="str">
            <v>Divya Rao</v>
          </cell>
          <cell r="I318" t="str">
            <v>Wrong</v>
          </cell>
          <cell r="J318">
            <v>1.74</v>
          </cell>
          <cell r="K318" t="str">
            <v>High</v>
          </cell>
          <cell r="AB318">
            <v>0</v>
          </cell>
        </row>
        <row r="319">
          <cell r="B319" t="str">
            <v>Divya Rao</v>
          </cell>
          <cell r="I319" t="str">
            <v>Correct</v>
          </cell>
          <cell r="J319">
            <v>1.25</v>
          </cell>
          <cell r="K319" t="str">
            <v>High</v>
          </cell>
          <cell r="AB319">
            <v>3</v>
          </cell>
        </row>
        <row r="320">
          <cell r="B320" t="str">
            <v>Divya Rao</v>
          </cell>
          <cell r="I320" t="str">
            <v>Wrong</v>
          </cell>
          <cell r="J320">
            <v>2.2999999999999998</v>
          </cell>
          <cell r="K320" t="str">
            <v>High</v>
          </cell>
          <cell r="AB320">
            <v>0</v>
          </cell>
        </row>
        <row r="321">
          <cell r="B321" t="str">
            <v>Divya Rao</v>
          </cell>
          <cell r="I321" t="str">
            <v>Wrong</v>
          </cell>
          <cell r="J321">
            <v>1.54</v>
          </cell>
          <cell r="K321" t="str">
            <v>High</v>
          </cell>
          <cell r="AB321">
            <v>0</v>
          </cell>
        </row>
        <row r="322">
          <cell r="B322" t="str">
            <v>Akash Yadav</v>
          </cell>
          <cell r="I322" t="str">
            <v>Wrong</v>
          </cell>
          <cell r="J322">
            <v>1.9</v>
          </cell>
          <cell r="K322" t="str">
            <v>Low</v>
          </cell>
          <cell r="AB322">
            <v>0</v>
          </cell>
        </row>
        <row r="323">
          <cell r="B323" t="str">
            <v>Akash Yadav</v>
          </cell>
          <cell r="I323" t="str">
            <v>Correct</v>
          </cell>
          <cell r="J323">
            <v>0.99</v>
          </cell>
          <cell r="K323" t="str">
            <v>Low</v>
          </cell>
          <cell r="AB323">
            <v>1</v>
          </cell>
        </row>
        <row r="324">
          <cell r="B324" t="str">
            <v>Akash Yadav</v>
          </cell>
          <cell r="I324" t="str">
            <v>Correct</v>
          </cell>
          <cell r="J324">
            <v>1.08</v>
          </cell>
          <cell r="K324" t="str">
            <v>Low</v>
          </cell>
          <cell r="AB324">
            <v>2</v>
          </cell>
        </row>
        <row r="325">
          <cell r="B325" t="str">
            <v>Akash Yadav</v>
          </cell>
          <cell r="I325" t="str">
            <v>Wrong</v>
          </cell>
          <cell r="J325">
            <v>1.1399999999999999</v>
          </cell>
          <cell r="K325" t="str">
            <v>Low</v>
          </cell>
          <cell r="AB325">
            <v>0</v>
          </cell>
        </row>
        <row r="326">
          <cell r="B326" t="str">
            <v>Akash Yadav</v>
          </cell>
          <cell r="I326" t="str">
            <v>Correct</v>
          </cell>
          <cell r="J326">
            <v>1.83</v>
          </cell>
          <cell r="K326" t="str">
            <v>Low</v>
          </cell>
          <cell r="AB326">
            <v>0.82</v>
          </cell>
        </row>
        <row r="327">
          <cell r="B327" t="str">
            <v>Akash Yadav</v>
          </cell>
          <cell r="I327" t="str">
            <v>Correct</v>
          </cell>
          <cell r="J327">
            <v>1.78</v>
          </cell>
          <cell r="K327" t="str">
            <v>Low</v>
          </cell>
          <cell r="AB327">
            <v>1.69</v>
          </cell>
        </row>
        <row r="328">
          <cell r="B328" t="str">
            <v>Akash Yadav</v>
          </cell>
          <cell r="I328" t="str">
            <v>Correct</v>
          </cell>
          <cell r="J328">
            <v>1.52</v>
          </cell>
          <cell r="K328" t="str">
            <v>Low</v>
          </cell>
          <cell r="AB328">
            <v>0.99</v>
          </cell>
        </row>
        <row r="329">
          <cell r="B329" t="str">
            <v>Akash Yadav</v>
          </cell>
          <cell r="I329" t="str">
            <v>Wrong</v>
          </cell>
          <cell r="J329">
            <v>1.5</v>
          </cell>
          <cell r="K329" t="str">
            <v>Low</v>
          </cell>
          <cell r="AB329">
            <v>0</v>
          </cell>
        </row>
        <row r="330">
          <cell r="B330" t="str">
            <v>Akash Yadav</v>
          </cell>
          <cell r="I330" t="str">
            <v>Correct</v>
          </cell>
          <cell r="J330">
            <v>0.94</v>
          </cell>
          <cell r="K330" t="str">
            <v>Low</v>
          </cell>
          <cell r="AB330">
            <v>2</v>
          </cell>
        </row>
        <row r="331">
          <cell r="B331" t="str">
            <v>Akash Yadav</v>
          </cell>
          <cell r="I331" t="str">
            <v>Correct</v>
          </cell>
          <cell r="J331">
            <v>2.25</v>
          </cell>
          <cell r="K331" t="str">
            <v>Medium</v>
          </cell>
          <cell r="AB331">
            <v>1.6</v>
          </cell>
        </row>
        <row r="332">
          <cell r="B332" t="str">
            <v>Akash Yadav</v>
          </cell>
          <cell r="I332" t="str">
            <v>Correct</v>
          </cell>
          <cell r="J332">
            <v>2.27</v>
          </cell>
          <cell r="K332" t="str">
            <v>Medium</v>
          </cell>
          <cell r="AB332">
            <v>1.59</v>
          </cell>
        </row>
        <row r="333">
          <cell r="B333" t="str">
            <v>Akash Yadav</v>
          </cell>
          <cell r="I333" t="str">
            <v>Wrong</v>
          </cell>
          <cell r="J333">
            <v>1.66</v>
          </cell>
          <cell r="K333" t="str">
            <v>Medium</v>
          </cell>
          <cell r="AB333">
            <v>0</v>
          </cell>
        </row>
        <row r="334">
          <cell r="B334" t="str">
            <v>Akash Yadav</v>
          </cell>
          <cell r="I334" t="str">
            <v>Wrong</v>
          </cell>
          <cell r="J334">
            <v>1.86</v>
          </cell>
          <cell r="K334" t="str">
            <v>Medium</v>
          </cell>
          <cell r="AB334">
            <v>0</v>
          </cell>
        </row>
        <row r="335">
          <cell r="B335" t="str">
            <v>Akash Yadav</v>
          </cell>
          <cell r="I335" t="str">
            <v>Wrong</v>
          </cell>
          <cell r="J335">
            <v>2.25</v>
          </cell>
          <cell r="K335" t="str">
            <v>Medium</v>
          </cell>
          <cell r="AB335">
            <v>0</v>
          </cell>
        </row>
        <row r="336">
          <cell r="B336" t="str">
            <v>Akash Yadav</v>
          </cell>
          <cell r="I336" t="str">
            <v>Correct</v>
          </cell>
          <cell r="J336">
            <v>2.1800000000000002</v>
          </cell>
          <cell r="K336" t="str">
            <v>Medium</v>
          </cell>
          <cell r="AB336">
            <v>1.65</v>
          </cell>
        </row>
        <row r="337">
          <cell r="B337" t="str">
            <v>Akash Yadav</v>
          </cell>
          <cell r="I337" t="str">
            <v>Wrong</v>
          </cell>
          <cell r="J337">
            <v>2.11</v>
          </cell>
          <cell r="K337" t="str">
            <v>High</v>
          </cell>
          <cell r="AB337">
            <v>0</v>
          </cell>
        </row>
        <row r="338">
          <cell r="B338" t="str">
            <v>Akash Yadav</v>
          </cell>
          <cell r="I338" t="str">
            <v>Correct</v>
          </cell>
          <cell r="J338">
            <v>2.56</v>
          </cell>
          <cell r="K338" t="str">
            <v>High</v>
          </cell>
          <cell r="AB338">
            <v>2.34</v>
          </cell>
        </row>
        <row r="339">
          <cell r="B339" t="str">
            <v>Akash Yadav</v>
          </cell>
          <cell r="I339" t="str">
            <v>Correct</v>
          </cell>
          <cell r="J339">
            <v>1.27</v>
          </cell>
          <cell r="K339" t="str">
            <v>High</v>
          </cell>
          <cell r="AB339">
            <v>3</v>
          </cell>
        </row>
        <row r="340">
          <cell r="B340" t="str">
            <v>Akash Yadav</v>
          </cell>
          <cell r="I340" t="str">
            <v>Wrong</v>
          </cell>
          <cell r="J340">
            <v>1.44</v>
          </cell>
          <cell r="K340" t="str">
            <v>High</v>
          </cell>
          <cell r="AB340">
            <v>0</v>
          </cell>
        </row>
        <row r="341">
          <cell r="B341" t="str">
            <v>Akash Yadav</v>
          </cell>
          <cell r="I341" t="str">
            <v>Correct</v>
          </cell>
          <cell r="J341">
            <v>1.29</v>
          </cell>
          <cell r="K341" t="str">
            <v>High</v>
          </cell>
          <cell r="AB341">
            <v>3</v>
          </cell>
        </row>
        <row r="342">
          <cell r="B342" t="str">
            <v>Nithya Suresh</v>
          </cell>
          <cell r="I342" t="str">
            <v>Correct</v>
          </cell>
          <cell r="J342">
            <v>1.1599999999999999</v>
          </cell>
          <cell r="K342" t="str">
            <v>Low</v>
          </cell>
          <cell r="AB342">
            <v>2</v>
          </cell>
        </row>
        <row r="343">
          <cell r="B343" t="str">
            <v>Nithya Suresh</v>
          </cell>
          <cell r="I343" t="str">
            <v>Correct</v>
          </cell>
          <cell r="J343">
            <v>1.52</v>
          </cell>
          <cell r="K343" t="str">
            <v>Low</v>
          </cell>
          <cell r="AB343">
            <v>0.99</v>
          </cell>
        </row>
        <row r="344">
          <cell r="B344" t="str">
            <v>Nithya Suresh</v>
          </cell>
          <cell r="I344" t="str">
            <v>Wrong</v>
          </cell>
          <cell r="J344">
            <v>1.73</v>
          </cell>
          <cell r="K344" t="str">
            <v>Low</v>
          </cell>
          <cell r="AB344">
            <v>0</v>
          </cell>
        </row>
        <row r="345">
          <cell r="B345" t="str">
            <v>Nithya Suresh</v>
          </cell>
          <cell r="I345" t="str">
            <v>Correct</v>
          </cell>
          <cell r="J345">
            <v>1.34</v>
          </cell>
          <cell r="K345" t="str">
            <v>Low</v>
          </cell>
          <cell r="AB345">
            <v>1</v>
          </cell>
        </row>
        <row r="346">
          <cell r="B346" t="str">
            <v>Nithya Suresh</v>
          </cell>
          <cell r="I346" t="str">
            <v>Correct</v>
          </cell>
          <cell r="J346">
            <v>1.98</v>
          </cell>
          <cell r="K346" t="str">
            <v>Low</v>
          </cell>
          <cell r="AB346">
            <v>0.76</v>
          </cell>
        </row>
        <row r="347">
          <cell r="B347" t="str">
            <v>Nithya Suresh</v>
          </cell>
          <cell r="I347" t="str">
            <v>Correct</v>
          </cell>
          <cell r="J347">
            <v>1.62</v>
          </cell>
          <cell r="K347" t="str">
            <v>Low</v>
          </cell>
          <cell r="AB347">
            <v>1.85</v>
          </cell>
        </row>
        <row r="348">
          <cell r="B348" t="str">
            <v>Nithya Suresh</v>
          </cell>
          <cell r="I348" t="str">
            <v>Correct</v>
          </cell>
          <cell r="J348">
            <v>1.41</v>
          </cell>
          <cell r="K348" t="str">
            <v>Low</v>
          </cell>
          <cell r="AB348">
            <v>1</v>
          </cell>
        </row>
        <row r="349">
          <cell r="B349" t="str">
            <v>Nithya Suresh</v>
          </cell>
          <cell r="I349" t="str">
            <v>Correct</v>
          </cell>
          <cell r="J349">
            <v>0.92</v>
          </cell>
          <cell r="K349" t="str">
            <v>Low</v>
          </cell>
          <cell r="AB349">
            <v>2</v>
          </cell>
        </row>
        <row r="350">
          <cell r="B350" t="str">
            <v>Nithya Suresh</v>
          </cell>
          <cell r="I350" t="str">
            <v>Correct</v>
          </cell>
          <cell r="J350">
            <v>0.98</v>
          </cell>
          <cell r="K350" t="str">
            <v>Low</v>
          </cell>
          <cell r="AB350">
            <v>2</v>
          </cell>
        </row>
        <row r="351">
          <cell r="B351" t="str">
            <v>Nithya Suresh</v>
          </cell>
          <cell r="I351" t="str">
            <v>Correct</v>
          </cell>
          <cell r="J351">
            <v>2</v>
          </cell>
          <cell r="K351" t="str">
            <v>Medium</v>
          </cell>
          <cell r="AB351">
            <v>1.8</v>
          </cell>
        </row>
        <row r="352">
          <cell r="B352" t="str">
            <v>Nithya Suresh</v>
          </cell>
          <cell r="I352" t="str">
            <v>Wrong</v>
          </cell>
          <cell r="J352">
            <v>2.14</v>
          </cell>
          <cell r="K352" t="str">
            <v>Medium</v>
          </cell>
          <cell r="AB352">
            <v>0</v>
          </cell>
        </row>
        <row r="353">
          <cell r="B353" t="str">
            <v>Nithya Suresh</v>
          </cell>
          <cell r="I353" t="str">
            <v>Correct</v>
          </cell>
          <cell r="J353">
            <v>2.0299999999999998</v>
          </cell>
          <cell r="K353" t="str">
            <v>Medium</v>
          </cell>
          <cell r="AB353">
            <v>1.77</v>
          </cell>
        </row>
        <row r="354">
          <cell r="B354" t="str">
            <v>Nithya Suresh</v>
          </cell>
          <cell r="I354" t="str">
            <v>Correct</v>
          </cell>
          <cell r="J354">
            <v>2.09</v>
          </cell>
          <cell r="K354" t="str">
            <v>Medium</v>
          </cell>
          <cell r="AB354">
            <v>1.72</v>
          </cell>
        </row>
        <row r="355">
          <cell r="B355" t="str">
            <v>Nithya Suresh</v>
          </cell>
          <cell r="I355" t="str">
            <v>Correct</v>
          </cell>
          <cell r="J355">
            <v>1.67</v>
          </cell>
          <cell r="K355" t="str">
            <v>Medium</v>
          </cell>
          <cell r="AB355">
            <v>2</v>
          </cell>
        </row>
        <row r="356">
          <cell r="B356" t="str">
            <v>Nithya Suresh</v>
          </cell>
          <cell r="I356" t="str">
            <v>Correct</v>
          </cell>
          <cell r="J356">
            <v>1.93</v>
          </cell>
          <cell r="K356" t="str">
            <v>Medium</v>
          </cell>
          <cell r="AB356">
            <v>1.87</v>
          </cell>
        </row>
        <row r="357">
          <cell r="B357" t="str">
            <v>Nithya Suresh</v>
          </cell>
          <cell r="I357" t="str">
            <v>Correct</v>
          </cell>
          <cell r="J357">
            <v>2.16</v>
          </cell>
          <cell r="K357" t="str">
            <v>High</v>
          </cell>
          <cell r="AB357">
            <v>2.78</v>
          </cell>
        </row>
        <row r="358">
          <cell r="B358" t="str">
            <v>Nithya Suresh</v>
          </cell>
          <cell r="I358" t="str">
            <v>Correct</v>
          </cell>
          <cell r="J358">
            <v>1.65</v>
          </cell>
          <cell r="K358" t="str">
            <v>High</v>
          </cell>
          <cell r="AB358">
            <v>3</v>
          </cell>
        </row>
        <row r="359">
          <cell r="B359" t="str">
            <v>Nithya Suresh</v>
          </cell>
          <cell r="I359" t="str">
            <v>Correct</v>
          </cell>
          <cell r="J359">
            <v>1.89</v>
          </cell>
          <cell r="K359" t="str">
            <v>High</v>
          </cell>
          <cell r="AB359">
            <v>3</v>
          </cell>
        </row>
        <row r="360">
          <cell r="B360" t="str">
            <v>Nithya Suresh</v>
          </cell>
          <cell r="I360" t="str">
            <v>Correct</v>
          </cell>
          <cell r="J360">
            <v>1.36</v>
          </cell>
          <cell r="K360" t="str">
            <v>High</v>
          </cell>
          <cell r="AB360">
            <v>3</v>
          </cell>
        </row>
        <row r="361">
          <cell r="B361" t="str">
            <v>Nithya Suresh</v>
          </cell>
          <cell r="I361" t="str">
            <v>Wrong</v>
          </cell>
          <cell r="J361">
            <v>2.34</v>
          </cell>
          <cell r="K361" t="str">
            <v>High</v>
          </cell>
          <cell r="AB361">
            <v>0</v>
          </cell>
        </row>
        <row r="362">
          <cell r="B362" t="str">
            <v>Harish Babu</v>
          </cell>
          <cell r="I362" t="str">
            <v>Correct</v>
          </cell>
          <cell r="J362">
            <v>1.17</v>
          </cell>
          <cell r="K362" t="str">
            <v>Low</v>
          </cell>
          <cell r="AB362">
            <v>2</v>
          </cell>
        </row>
        <row r="363">
          <cell r="B363" t="str">
            <v>Harish Babu</v>
          </cell>
          <cell r="I363" t="str">
            <v>Wrong</v>
          </cell>
          <cell r="J363">
            <v>1.73</v>
          </cell>
          <cell r="K363" t="str">
            <v>Low</v>
          </cell>
          <cell r="AB363">
            <v>0</v>
          </cell>
        </row>
        <row r="364">
          <cell r="B364" t="str">
            <v>Harish Babu</v>
          </cell>
          <cell r="I364" t="str">
            <v>Correct</v>
          </cell>
          <cell r="J364">
            <v>1.08</v>
          </cell>
          <cell r="K364" t="str">
            <v>Low</v>
          </cell>
          <cell r="AB364">
            <v>2</v>
          </cell>
        </row>
        <row r="365">
          <cell r="B365" t="str">
            <v>Harish Babu</v>
          </cell>
          <cell r="I365" t="str">
            <v>Correct</v>
          </cell>
          <cell r="J365">
            <v>1.95</v>
          </cell>
          <cell r="K365" t="str">
            <v>Low</v>
          </cell>
          <cell r="AB365">
            <v>0.77</v>
          </cell>
        </row>
        <row r="366">
          <cell r="B366" t="str">
            <v>Harish Babu</v>
          </cell>
          <cell r="I366" t="str">
            <v>Correct</v>
          </cell>
          <cell r="J366">
            <v>1.93</v>
          </cell>
          <cell r="K366" t="str">
            <v>Low</v>
          </cell>
          <cell r="AB366">
            <v>0.78</v>
          </cell>
        </row>
        <row r="367">
          <cell r="B367" t="str">
            <v>Harish Babu</v>
          </cell>
          <cell r="I367" t="str">
            <v>Correct</v>
          </cell>
          <cell r="J367">
            <v>1.43</v>
          </cell>
          <cell r="K367" t="str">
            <v>Low</v>
          </cell>
          <cell r="AB367">
            <v>2</v>
          </cell>
        </row>
        <row r="368">
          <cell r="B368" t="str">
            <v>Harish Babu</v>
          </cell>
          <cell r="I368" t="str">
            <v>Correct</v>
          </cell>
          <cell r="J368">
            <v>0.97</v>
          </cell>
          <cell r="K368" t="str">
            <v>Low</v>
          </cell>
          <cell r="AB368">
            <v>1</v>
          </cell>
        </row>
        <row r="369">
          <cell r="B369" t="str">
            <v>Harish Babu</v>
          </cell>
          <cell r="I369" t="str">
            <v>Correct</v>
          </cell>
          <cell r="J369">
            <v>0.9</v>
          </cell>
          <cell r="K369" t="str">
            <v>Low</v>
          </cell>
          <cell r="AB369">
            <v>2</v>
          </cell>
        </row>
        <row r="370">
          <cell r="B370" t="str">
            <v>Harish Babu</v>
          </cell>
          <cell r="I370" t="str">
            <v>Correct</v>
          </cell>
          <cell r="J370">
            <v>1.48</v>
          </cell>
          <cell r="K370" t="str">
            <v>Low</v>
          </cell>
          <cell r="AB370">
            <v>2</v>
          </cell>
        </row>
        <row r="371">
          <cell r="B371" t="str">
            <v>Harish Babu</v>
          </cell>
          <cell r="I371" t="str">
            <v>Correct</v>
          </cell>
          <cell r="J371">
            <v>1.28</v>
          </cell>
          <cell r="K371" t="str">
            <v>Medium</v>
          </cell>
          <cell r="AB371">
            <v>2</v>
          </cell>
        </row>
        <row r="372">
          <cell r="B372" t="str">
            <v>Harish Babu</v>
          </cell>
          <cell r="I372" t="str">
            <v>Correct</v>
          </cell>
          <cell r="J372">
            <v>2.23</v>
          </cell>
          <cell r="K372" t="str">
            <v>Medium</v>
          </cell>
          <cell r="AB372">
            <v>1.61</v>
          </cell>
        </row>
        <row r="373">
          <cell r="B373" t="str">
            <v>Harish Babu</v>
          </cell>
          <cell r="I373" t="str">
            <v>Correct</v>
          </cell>
          <cell r="J373">
            <v>1.1200000000000001</v>
          </cell>
          <cell r="K373" t="str">
            <v>Medium</v>
          </cell>
          <cell r="AB373">
            <v>2</v>
          </cell>
        </row>
        <row r="374">
          <cell r="B374" t="str">
            <v>Harish Babu</v>
          </cell>
          <cell r="I374" t="str">
            <v>Correct</v>
          </cell>
          <cell r="J374">
            <v>1.83</v>
          </cell>
          <cell r="K374" t="str">
            <v>Medium</v>
          </cell>
          <cell r="AB374">
            <v>1.97</v>
          </cell>
        </row>
        <row r="375">
          <cell r="B375" t="str">
            <v>Harish Babu</v>
          </cell>
          <cell r="I375" t="str">
            <v>Wrong</v>
          </cell>
          <cell r="J375">
            <v>1.56</v>
          </cell>
          <cell r="K375" t="str">
            <v>Medium</v>
          </cell>
          <cell r="AB375">
            <v>0</v>
          </cell>
        </row>
        <row r="376">
          <cell r="B376" t="str">
            <v>Harish Babu</v>
          </cell>
          <cell r="I376" t="str">
            <v>Correct</v>
          </cell>
          <cell r="J376">
            <v>1.85</v>
          </cell>
          <cell r="K376" t="str">
            <v>Medium</v>
          </cell>
          <cell r="AB376">
            <v>1.95</v>
          </cell>
        </row>
        <row r="377">
          <cell r="B377" t="str">
            <v>Harish Babu</v>
          </cell>
          <cell r="I377" t="str">
            <v>Correct</v>
          </cell>
          <cell r="J377">
            <v>1.82</v>
          </cell>
          <cell r="K377" t="str">
            <v>High</v>
          </cell>
          <cell r="AB377">
            <v>3</v>
          </cell>
        </row>
        <row r="378">
          <cell r="B378" t="str">
            <v>Harish Babu</v>
          </cell>
          <cell r="I378" t="str">
            <v>Wrong</v>
          </cell>
          <cell r="J378">
            <v>1.33</v>
          </cell>
          <cell r="K378" t="str">
            <v>High</v>
          </cell>
          <cell r="AB378">
            <v>0</v>
          </cell>
        </row>
        <row r="379">
          <cell r="B379" t="str">
            <v>Harish Babu</v>
          </cell>
          <cell r="I379" t="str">
            <v>Correct</v>
          </cell>
          <cell r="J379">
            <v>2.36</v>
          </cell>
          <cell r="K379" t="str">
            <v>High</v>
          </cell>
          <cell r="AB379">
            <v>2.54</v>
          </cell>
        </row>
        <row r="380">
          <cell r="B380" t="str">
            <v>Harish Babu</v>
          </cell>
          <cell r="I380" t="str">
            <v>Wrong</v>
          </cell>
          <cell r="J380">
            <v>2.33</v>
          </cell>
          <cell r="K380" t="str">
            <v>High</v>
          </cell>
          <cell r="AB380">
            <v>0</v>
          </cell>
        </row>
        <row r="381">
          <cell r="B381" t="str">
            <v>Harish Babu</v>
          </cell>
          <cell r="I381" t="str">
            <v>Wrong</v>
          </cell>
          <cell r="J381">
            <v>2.5299999999999998</v>
          </cell>
          <cell r="K381" t="str">
            <v>High</v>
          </cell>
          <cell r="AB381">
            <v>0</v>
          </cell>
        </row>
        <row r="382">
          <cell r="B382" t="str">
            <v>Lakshmi Devi</v>
          </cell>
          <cell r="I382" t="str">
            <v>Correct</v>
          </cell>
          <cell r="J382">
            <v>1.32</v>
          </cell>
          <cell r="K382" t="str">
            <v>Low</v>
          </cell>
          <cell r="AB382">
            <v>2</v>
          </cell>
        </row>
        <row r="383">
          <cell r="B383" t="str">
            <v>Lakshmi Devi</v>
          </cell>
          <cell r="I383" t="str">
            <v>Correct</v>
          </cell>
          <cell r="J383">
            <v>1.56</v>
          </cell>
          <cell r="K383" t="str">
            <v>Low</v>
          </cell>
          <cell r="AB383">
            <v>0.96</v>
          </cell>
        </row>
        <row r="384">
          <cell r="B384" t="str">
            <v>Lakshmi Devi</v>
          </cell>
          <cell r="I384" t="str">
            <v>Wrong</v>
          </cell>
          <cell r="J384">
            <v>1.49</v>
          </cell>
          <cell r="K384" t="str">
            <v>Low</v>
          </cell>
          <cell r="AB384">
            <v>0</v>
          </cell>
        </row>
        <row r="385">
          <cell r="B385" t="str">
            <v>Lakshmi Devi</v>
          </cell>
          <cell r="I385" t="str">
            <v>Correct</v>
          </cell>
          <cell r="J385">
            <v>1.1299999999999999</v>
          </cell>
          <cell r="K385" t="str">
            <v>Low</v>
          </cell>
          <cell r="AB385">
            <v>1</v>
          </cell>
        </row>
        <row r="386">
          <cell r="B386" t="str">
            <v>Lakshmi Devi</v>
          </cell>
          <cell r="I386" t="str">
            <v>Correct</v>
          </cell>
          <cell r="J386">
            <v>1.5</v>
          </cell>
          <cell r="K386" t="str">
            <v>Low</v>
          </cell>
          <cell r="AB386">
            <v>1</v>
          </cell>
        </row>
        <row r="387">
          <cell r="B387" t="str">
            <v>Lakshmi Devi</v>
          </cell>
          <cell r="I387" t="str">
            <v>Correct</v>
          </cell>
          <cell r="J387">
            <v>1.9</v>
          </cell>
          <cell r="K387" t="str">
            <v>Low</v>
          </cell>
          <cell r="AB387">
            <v>1.58</v>
          </cell>
        </row>
        <row r="388">
          <cell r="B388" t="str">
            <v>Lakshmi Devi</v>
          </cell>
          <cell r="I388" t="str">
            <v>Correct</v>
          </cell>
          <cell r="J388">
            <v>1.49</v>
          </cell>
          <cell r="K388" t="str">
            <v>Low</v>
          </cell>
          <cell r="AB388">
            <v>1</v>
          </cell>
        </row>
        <row r="389">
          <cell r="B389" t="str">
            <v>Lakshmi Devi</v>
          </cell>
          <cell r="I389" t="str">
            <v>Correct</v>
          </cell>
          <cell r="J389">
            <v>1.32</v>
          </cell>
          <cell r="K389" t="str">
            <v>Low</v>
          </cell>
          <cell r="AB389">
            <v>2</v>
          </cell>
        </row>
        <row r="390">
          <cell r="B390" t="str">
            <v>Lakshmi Devi</v>
          </cell>
          <cell r="I390" t="str">
            <v>Correct</v>
          </cell>
          <cell r="J390">
            <v>1.19</v>
          </cell>
          <cell r="K390" t="str">
            <v>Low</v>
          </cell>
          <cell r="AB390">
            <v>2</v>
          </cell>
        </row>
        <row r="391">
          <cell r="B391" t="str">
            <v>Lakshmi Devi</v>
          </cell>
          <cell r="I391" t="str">
            <v>Wrong</v>
          </cell>
          <cell r="J391">
            <v>1.39</v>
          </cell>
          <cell r="K391" t="str">
            <v>Medium</v>
          </cell>
          <cell r="AB391">
            <v>0</v>
          </cell>
        </row>
        <row r="392">
          <cell r="B392" t="str">
            <v>Lakshmi Devi</v>
          </cell>
          <cell r="I392" t="str">
            <v>Correct</v>
          </cell>
          <cell r="J392">
            <v>1.71</v>
          </cell>
          <cell r="K392" t="str">
            <v>Medium</v>
          </cell>
          <cell r="AB392">
            <v>2</v>
          </cell>
        </row>
        <row r="393">
          <cell r="B393" t="str">
            <v>Lakshmi Devi</v>
          </cell>
          <cell r="I393" t="str">
            <v>Correct</v>
          </cell>
          <cell r="J393">
            <v>1.1399999999999999</v>
          </cell>
          <cell r="K393" t="str">
            <v>Medium</v>
          </cell>
          <cell r="AB393">
            <v>2</v>
          </cell>
        </row>
        <row r="394">
          <cell r="B394" t="str">
            <v>Lakshmi Devi</v>
          </cell>
          <cell r="I394" t="str">
            <v>Wrong</v>
          </cell>
          <cell r="J394">
            <v>2.09</v>
          </cell>
          <cell r="K394" t="str">
            <v>Medium</v>
          </cell>
          <cell r="AB394">
            <v>0</v>
          </cell>
        </row>
        <row r="395">
          <cell r="B395" t="str">
            <v>Lakshmi Devi</v>
          </cell>
          <cell r="I395" t="str">
            <v>Wrong</v>
          </cell>
          <cell r="J395">
            <v>1.3</v>
          </cell>
          <cell r="K395" t="str">
            <v>Medium</v>
          </cell>
          <cell r="AB395">
            <v>0</v>
          </cell>
        </row>
        <row r="396">
          <cell r="B396" t="str">
            <v>Lakshmi Devi</v>
          </cell>
          <cell r="I396" t="str">
            <v>Wrong</v>
          </cell>
          <cell r="J396">
            <v>1.9</v>
          </cell>
          <cell r="K396" t="str">
            <v>Medium</v>
          </cell>
          <cell r="AB396">
            <v>0</v>
          </cell>
        </row>
        <row r="397">
          <cell r="B397" t="str">
            <v>Lakshmi Devi</v>
          </cell>
          <cell r="I397" t="str">
            <v>Wrong</v>
          </cell>
          <cell r="J397">
            <v>1.82</v>
          </cell>
          <cell r="K397" t="str">
            <v>High</v>
          </cell>
          <cell r="AB397">
            <v>0</v>
          </cell>
        </row>
        <row r="398">
          <cell r="B398" t="str">
            <v>Lakshmi Devi</v>
          </cell>
          <cell r="I398" t="str">
            <v>Wrong</v>
          </cell>
          <cell r="J398">
            <v>2.09</v>
          </cell>
          <cell r="K398" t="str">
            <v>High</v>
          </cell>
          <cell r="AB398">
            <v>0</v>
          </cell>
        </row>
        <row r="399">
          <cell r="B399" t="str">
            <v>Lakshmi Devi</v>
          </cell>
          <cell r="I399" t="str">
            <v>Wrong</v>
          </cell>
          <cell r="J399">
            <v>1.28</v>
          </cell>
          <cell r="K399" t="str">
            <v>High</v>
          </cell>
          <cell r="AB399">
            <v>0</v>
          </cell>
        </row>
        <row r="400">
          <cell r="B400" t="str">
            <v>Lakshmi Devi</v>
          </cell>
          <cell r="I400" t="str">
            <v>Correct</v>
          </cell>
          <cell r="J400">
            <v>1.63</v>
          </cell>
          <cell r="K400" t="str">
            <v>High</v>
          </cell>
          <cell r="AB400">
            <v>3</v>
          </cell>
        </row>
        <row r="401">
          <cell r="B401" t="str">
            <v>Lakshmi Devi</v>
          </cell>
          <cell r="I401" t="str">
            <v>Correct</v>
          </cell>
          <cell r="J401">
            <v>1.25</v>
          </cell>
          <cell r="K401" t="str">
            <v>High</v>
          </cell>
          <cell r="AB401">
            <v>3</v>
          </cell>
        </row>
        <row r="402">
          <cell r="B402" t="str">
            <v>Varun Shah</v>
          </cell>
          <cell r="I402" t="str">
            <v>Wrong</v>
          </cell>
          <cell r="J402">
            <v>1.54</v>
          </cell>
          <cell r="K402" t="str">
            <v>Low</v>
          </cell>
          <cell r="AB402">
            <v>0</v>
          </cell>
        </row>
        <row r="403">
          <cell r="B403" t="str">
            <v>Varun Shah</v>
          </cell>
          <cell r="I403" t="str">
            <v>Correct</v>
          </cell>
          <cell r="J403">
            <v>1.29</v>
          </cell>
          <cell r="K403" t="str">
            <v>Low</v>
          </cell>
          <cell r="AB403">
            <v>1</v>
          </cell>
        </row>
        <row r="404">
          <cell r="B404" t="str">
            <v>Varun Shah</v>
          </cell>
          <cell r="I404" t="str">
            <v>Wrong</v>
          </cell>
          <cell r="J404">
            <v>1.85</v>
          </cell>
          <cell r="K404" t="str">
            <v>Low</v>
          </cell>
          <cell r="AB404">
            <v>0</v>
          </cell>
        </row>
        <row r="405">
          <cell r="B405" t="str">
            <v>Varun Shah</v>
          </cell>
          <cell r="I405" t="str">
            <v>Wrong</v>
          </cell>
          <cell r="J405">
            <v>1.02</v>
          </cell>
          <cell r="K405" t="str">
            <v>Low</v>
          </cell>
          <cell r="AB405">
            <v>0</v>
          </cell>
        </row>
        <row r="406">
          <cell r="B406" t="str">
            <v>Varun Shah</v>
          </cell>
          <cell r="I406" t="str">
            <v>Wrong</v>
          </cell>
          <cell r="J406">
            <v>1.0900000000000001</v>
          </cell>
          <cell r="K406" t="str">
            <v>Low</v>
          </cell>
          <cell r="AB406">
            <v>0</v>
          </cell>
        </row>
        <row r="407">
          <cell r="B407" t="str">
            <v>Varun Shah</v>
          </cell>
          <cell r="I407" t="str">
            <v>Wrong</v>
          </cell>
          <cell r="J407">
            <v>1.33</v>
          </cell>
          <cell r="K407" t="str">
            <v>Low</v>
          </cell>
          <cell r="AB407">
            <v>0</v>
          </cell>
        </row>
        <row r="408">
          <cell r="B408" t="str">
            <v>Varun Shah</v>
          </cell>
          <cell r="I408" t="str">
            <v>Correct</v>
          </cell>
          <cell r="J408">
            <v>2</v>
          </cell>
          <cell r="K408" t="str">
            <v>Low</v>
          </cell>
          <cell r="AB408">
            <v>0.75</v>
          </cell>
        </row>
        <row r="409">
          <cell r="B409" t="str">
            <v>Varun Shah</v>
          </cell>
          <cell r="I409" t="str">
            <v>Wrong</v>
          </cell>
          <cell r="J409">
            <v>1.38</v>
          </cell>
          <cell r="K409" t="str">
            <v>Low</v>
          </cell>
          <cell r="AB409">
            <v>0</v>
          </cell>
        </row>
        <row r="410">
          <cell r="B410" t="str">
            <v>Varun Shah</v>
          </cell>
          <cell r="I410" t="str">
            <v>Wrong</v>
          </cell>
          <cell r="J410">
            <v>1.31</v>
          </cell>
          <cell r="K410" t="str">
            <v>Low</v>
          </cell>
          <cell r="AB410">
            <v>0</v>
          </cell>
        </row>
        <row r="411">
          <cell r="B411" t="str">
            <v>Varun Shah</v>
          </cell>
          <cell r="I411" t="str">
            <v>Wrong</v>
          </cell>
          <cell r="J411">
            <v>1.2</v>
          </cell>
          <cell r="K411" t="str">
            <v>Medium</v>
          </cell>
          <cell r="AB411">
            <v>0</v>
          </cell>
        </row>
        <row r="412">
          <cell r="B412" t="str">
            <v>Varun Shah</v>
          </cell>
          <cell r="I412" t="str">
            <v>Correct</v>
          </cell>
          <cell r="J412">
            <v>1.22</v>
          </cell>
          <cell r="K412" t="str">
            <v>Medium</v>
          </cell>
          <cell r="AB412">
            <v>2</v>
          </cell>
        </row>
        <row r="413">
          <cell r="B413" t="str">
            <v>Varun Shah</v>
          </cell>
          <cell r="I413" t="str">
            <v>Wrong</v>
          </cell>
          <cell r="J413">
            <v>1.58</v>
          </cell>
          <cell r="K413" t="str">
            <v>Medium</v>
          </cell>
          <cell r="AB413">
            <v>0</v>
          </cell>
        </row>
        <row r="414">
          <cell r="B414" t="str">
            <v>Varun Shah</v>
          </cell>
          <cell r="I414" t="str">
            <v>Wrong</v>
          </cell>
          <cell r="J414">
            <v>1.82</v>
          </cell>
          <cell r="K414" t="str">
            <v>Medium</v>
          </cell>
          <cell r="AB414">
            <v>0</v>
          </cell>
        </row>
        <row r="415">
          <cell r="B415" t="str">
            <v>Varun Shah</v>
          </cell>
          <cell r="I415" t="str">
            <v>Wrong</v>
          </cell>
          <cell r="J415">
            <v>1.72</v>
          </cell>
          <cell r="K415" t="str">
            <v>Medium</v>
          </cell>
          <cell r="AB415">
            <v>0</v>
          </cell>
        </row>
        <row r="416">
          <cell r="B416" t="str">
            <v>Varun Shah</v>
          </cell>
          <cell r="I416" t="str">
            <v>Correct</v>
          </cell>
          <cell r="J416">
            <v>2.16</v>
          </cell>
          <cell r="K416" t="str">
            <v>Medium</v>
          </cell>
          <cell r="AB416">
            <v>1.67</v>
          </cell>
        </row>
        <row r="417">
          <cell r="B417" t="str">
            <v>Varun Shah</v>
          </cell>
          <cell r="I417" t="str">
            <v>Wrong</v>
          </cell>
          <cell r="J417">
            <v>1.78</v>
          </cell>
          <cell r="K417" t="str">
            <v>High</v>
          </cell>
          <cell r="AB417">
            <v>0</v>
          </cell>
        </row>
        <row r="418">
          <cell r="B418" t="str">
            <v>Varun Shah</v>
          </cell>
          <cell r="I418" t="str">
            <v>Correct</v>
          </cell>
          <cell r="J418">
            <v>1.65</v>
          </cell>
          <cell r="K418" t="str">
            <v>High</v>
          </cell>
          <cell r="AB418">
            <v>3</v>
          </cell>
        </row>
        <row r="419">
          <cell r="B419" t="str">
            <v>Varun Shah</v>
          </cell>
          <cell r="I419" t="str">
            <v>Wrong</v>
          </cell>
          <cell r="J419">
            <v>1.34</v>
          </cell>
          <cell r="K419" t="str">
            <v>High</v>
          </cell>
          <cell r="AB419">
            <v>0</v>
          </cell>
        </row>
        <row r="420">
          <cell r="B420" t="str">
            <v>Varun Shah</v>
          </cell>
          <cell r="I420" t="str">
            <v>Wrong</v>
          </cell>
          <cell r="J420">
            <v>2.27</v>
          </cell>
          <cell r="K420" t="str">
            <v>High</v>
          </cell>
          <cell r="AB420">
            <v>0</v>
          </cell>
        </row>
        <row r="421">
          <cell r="B421" t="str">
            <v>Varun Shah</v>
          </cell>
          <cell r="I421" t="str">
            <v>Wrong</v>
          </cell>
          <cell r="J421">
            <v>1.41</v>
          </cell>
          <cell r="K421" t="str">
            <v>High</v>
          </cell>
          <cell r="AB421">
            <v>0</v>
          </cell>
        </row>
        <row r="422">
          <cell r="B422" t="str">
            <v>Aishwarya Bose</v>
          </cell>
          <cell r="I422" t="str">
            <v>Correct</v>
          </cell>
          <cell r="J422">
            <v>1.86</v>
          </cell>
          <cell r="K422" t="str">
            <v>Low</v>
          </cell>
          <cell r="AB422">
            <v>1.61</v>
          </cell>
        </row>
        <row r="423">
          <cell r="B423" t="str">
            <v>Aishwarya Bose</v>
          </cell>
          <cell r="I423" t="str">
            <v>Correct</v>
          </cell>
          <cell r="J423">
            <v>0.97</v>
          </cell>
          <cell r="K423" t="str">
            <v>Low</v>
          </cell>
          <cell r="AB423">
            <v>1</v>
          </cell>
        </row>
        <row r="424">
          <cell r="B424" t="str">
            <v>Aishwarya Bose</v>
          </cell>
          <cell r="I424" t="str">
            <v>Wrong</v>
          </cell>
          <cell r="J424">
            <v>0.97</v>
          </cell>
          <cell r="K424" t="str">
            <v>Low</v>
          </cell>
          <cell r="AB424">
            <v>0</v>
          </cell>
        </row>
        <row r="425">
          <cell r="B425" t="str">
            <v>Aishwarya Bose</v>
          </cell>
          <cell r="I425" t="str">
            <v>Correct</v>
          </cell>
          <cell r="J425">
            <v>1.42</v>
          </cell>
          <cell r="K425" t="str">
            <v>Low</v>
          </cell>
          <cell r="AB425">
            <v>1</v>
          </cell>
        </row>
        <row r="426">
          <cell r="B426" t="str">
            <v>Aishwarya Bose</v>
          </cell>
          <cell r="I426" t="str">
            <v>Correct</v>
          </cell>
          <cell r="J426">
            <v>1.72</v>
          </cell>
          <cell r="K426" t="str">
            <v>Low</v>
          </cell>
          <cell r="AB426">
            <v>0.87</v>
          </cell>
        </row>
        <row r="427">
          <cell r="B427" t="str">
            <v>Aishwarya Bose</v>
          </cell>
          <cell r="I427" t="str">
            <v>Wrong</v>
          </cell>
          <cell r="J427">
            <v>1.35</v>
          </cell>
          <cell r="K427" t="str">
            <v>Low</v>
          </cell>
          <cell r="AB427">
            <v>0</v>
          </cell>
        </row>
        <row r="428">
          <cell r="B428" t="str">
            <v>Aishwarya Bose</v>
          </cell>
          <cell r="I428" t="str">
            <v>Correct</v>
          </cell>
          <cell r="J428">
            <v>1.37</v>
          </cell>
          <cell r="K428" t="str">
            <v>Low</v>
          </cell>
          <cell r="AB428">
            <v>1</v>
          </cell>
        </row>
        <row r="429">
          <cell r="B429" t="str">
            <v>Aishwarya Bose</v>
          </cell>
          <cell r="I429" t="str">
            <v>Correct</v>
          </cell>
          <cell r="J429">
            <v>0.98</v>
          </cell>
          <cell r="K429" t="str">
            <v>Low</v>
          </cell>
          <cell r="AB429">
            <v>2</v>
          </cell>
        </row>
        <row r="430">
          <cell r="B430" t="str">
            <v>Aishwarya Bose</v>
          </cell>
          <cell r="I430" t="str">
            <v>Correct</v>
          </cell>
          <cell r="J430">
            <v>1.68</v>
          </cell>
          <cell r="K430" t="str">
            <v>Low</v>
          </cell>
          <cell r="AB430">
            <v>1.79</v>
          </cell>
        </row>
        <row r="431">
          <cell r="B431" t="str">
            <v>Aishwarya Bose</v>
          </cell>
          <cell r="I431" t="str">
            <v>Correct</v>
          </cell>
          <cell r="J431">
            <v>1.73</v>
          </cell>
          <cell r="K431" t="str">
            <v>Medium</v>
          </cell>
          <cell r="AB431">
            <v>2</v>
          </cell>
        </row>
        <row r="432">
          <cell r="B432" t="str">
            <v>Aishwarya Bose</v>
          </cell>
          <cell r="I432" t="str">
            <v>Correct</v>
          </cell>
          <cell r="J432">
            <v>1.61</v>
          </cell>
          <cell r="K432" t="str">
            <v>Medium</v>
          </cell>
          <cell r="AB432">
            <v>2</v>
          </cell>
        </row>
        <row r="433">
          <cell r="B433" t="str">
            <v>Aishwarya Bose</v>
          </cell>
          <cell r="I433" t="str">
            <v>Wrong</v>
          </cell>
          <cell r="J433">
            <v>2.2400000000000002</v>
          </cell>
          <cell r="K433" t="str">
            <v>Medium</v>
          </cell>
          <cell r="AB433">
            <v>0</v>
          </cell>
        </row>
        <row r="434">
          <cell r="B434" t="str">
            <v>Aishwarya Bose</v>
          </cell>
          <cell r="I434" t="str">
            <v>Wrong</v>
          </cell>
          <cell r="J434">
            <v>2.13</v>
          </cell>
          <cell r="K434" t="str">
            <v>Medium</v>
          </cell>
          <cell r="AB434">
            <v>0</v>
          </cell>
        </row>
        <row r="435">
          <cell r="B435" t="str">
            <v>Aishwarya Bose</v>
          </cell>
          <cell r="I435" t="str">
            <v>Wrong</v>
          </cell>
          <cell r="J435">
            <v>1.83</v>
          </cell>
          <cell r="K435" t="str">
            <v>Medium</v>
          </cell>
          <cell r="AB435">
            <v>0</v>
          </cell>
        </row>
        <row r="436">
          <cell r="B436" t="str">
            <v>Aishwarya Bose</v>
          </cell>
          <cell r="I436" t="str">
            <v>Correct</v>
          </cell>
          <cell r="J436">
            <v>1.47</v>
          </cell>
          <cell r="K436" t="str">
            <v>Medium</v>
          </cell>
          <cell r="AB436">
            <v>2</v>
          </cell>
        </row>
        <row r="437">
          <cell r="B437" t="str">
            <v>Aishwarya Bose</v>
          </cell>
          <cell r="I437" t="str">
            <v>Wrong</v>
          </cell>
          <cell r="J437">
            <v>2.2999999999999998</v>
          </cell>
          <cell r="K437" t="str">
            <v>High</v>
          </cell>
          <cell r="AB437">
            <v>0</v>
          </cell>
        </row>
        <row r="438">
          <cell r="B438" t="str">
            <v>Aishwarya Bose</v>
          </cell>
          <cell r="I438" t="str">
            <v>Wrong</v>
          </cell>
          <cell r="J438">
            <v>1.52</v>
          </cell>
          <cell r="K438" t="str">
            <v>High</v>
          </cell>
          <cell r="AB438">
            <v>0</v>
          </cell>
        </row>
        <row r="439">
          <cell r="B439" t="str">
            <v>Aishwarya Bose</v>
          </cell>
          <cell r="I439" t="str">
            <v>Correct</v>
          </cell>
          <cell r="J439">
            <v>2.5099999999999998</v>
          </cell>
          <cell r="K439" t="str">
            <v>High</v>
          </cell>
          <cell r="AB439">
            <v>2.39</v>
          </cell>
        </row>
        <row r="440">
          <cell r="B440" t="str">
            <v>Aishwarya Bose</v>
          </cell>
          <cell r="I440" t="str">
            <v>Correct</v>
          </cell>
          <cell r="J440">
            <v>1.31</v>
          </cell>
          <cell r="K440" t="str">
            <v>High</v>
          </cell>
          <cell r="AB440">
            <v>3</v>
          </cell>
        </row>
        <row r="441">
          <cell r="B441" t="str">
            <v>Aishwarya Bose</v>
          </cell>
          <cell r="I441" t="str">
            <v>Wrong</v>
          </cell>
          <cell r="J441">
            <v>1.32</v>
          </cell>
          <cell r="K441" t="str">
            <v>High</v>
          </cell>
          <cell r="AB441">
            <v>0</v>
          </cell>
        </row>
        <row r="442">
          <cell r="B442" t="str">
            <v>Pranav Joshi</v>
          </cell>
          <cell r="I442" t="str">
            <v>Correct</v>
          </cell>
          <cell r="J442">
            <v>1.86</v>
          </cell>
          <cell r="K442" t="str">
            <v>Low</v>
          </cell>
          <cell r="AB442">
            <v>1.61</v>
          </cell>
        </row>
        <row r="443">
          <cell r="B443" t="str">
            <v>Pranav Joshi</v>
          </cell>
          <cell r="I443" t="str">
            <v>Wrong</v>
          </cell>
          <cell r="J443">
            <v>0.9</v>
          </cell>
          <cell r="K443" t="str">
            <v>Low</v>
          </cell>
          <cell r="AB443">
            <v>0</v>
          </cell>
        </row>
        <row r="444">
          <cell r="B444" t="str">
            <v>Pranav Joshi</v>
          </cell>
          <cell r="I444" t="str">
            <v>Correct</v>
          </cell>
          <cell r="J444">
            <v>1.1200000000000001</v>
          </cell>
          <cell r="K444" t="str">
            <v>Low</v>
          </cell>
          <cell r="AB444">
            <v>2</v>
          </cell>
        </row>
        <row r="445">
          <cell r="B445" t="str">
            <v>Pranav Joshi</v>
          </cell>
          <cell r="I445" t="str">
            <v>Correct</v>
          </cell>
          <cell r="J445">
            <v>1.55</v>
          </cell>
          <cell r="K445" t="str">
            <v>Low</v>
          </cell>
          <cell r="AB445">
            <v>0.97</v>
          </cell>
        </row>
        <row r="446">
          <cell r="B446" t="str">
            <v>Pranav Joshi</v>
          </cell>
          <cell r="I446" t="str">
            <v>Correct</v>
          </cell>
          <cell r="J446">
            <v>1.67</v>
          </cell>
          <cell r="K446" t="str">
            <v>Low</v>
          </cell>
          <cell r="AB446">
            <v>0.9</v>
          </cell>
        </row>
        <row r="447">
          <cell r="B447" t="str">
            <v>Pranav Joshi</v>
          </cell>
          <cell r="I447" t="str">
            <v>Correct</v>
          </cell>
          <cell r="J447">
            <v>1.7</v>
          </cell>
          <cell r="K447" t="str">
            <v>Low</v>
          </cell>
          <cell r="AB447">
            <v>1.76</v>
          </cell>
        </row>
        <row r="448">
          <cell r="B448" t="str">
            <v>Pranav Joshi</v>
          </cell>
          <cell r="I448" t="str">
            <v>Correct</v>
          </cell>
          <cell r="J448">
            <v>1.96</v>
          </cell>
          <cell r="K448" t="str">
            <v>Low</v>
          </cell>
          <cell r="AB448">
            <v>0.77</v>
          </cell>
        </row>
        <row r="449">
          <cell r="B449" t="str">
            <v>Pranav Joshi</v>
          </cell>
          <cell r="I449" t="str">
            <v>Correct</v>
          </cell>
          <cell r="J449">
            <v>1.04</v>
          </cell>
          <cell r="K449" t="str">
            <v>Low</v>
          </cell>
          <cell r="AB449">
            <v>2</v>
          </cell>
        </row>
        <row r="450">
          <cell r="B450" t="str">
            <v>Pranav Joshi</v>
          </cell>
          <cell r="I450" t="str">
            <v>Correct</v>
          </cell>
          <cell r="J450">
            <v>1.27</v>
          </cell>
          <cell r="K450" t="str">
            <v>Low</v>
          </cell>
          <cell r="AB450">
            <v>2</v>
          </cell>
        </row>
        <row r="451">
          <cell r="B451" t="str">
            <v>Pranav Joshi</v>
          </cell>
          <cell r="I451" t="str">
            <v>Correct</v>
          </cell>
          <cell r="J451">
            <v>1.88</v>
          </cell>
          <cell r="K451" t="str">
            <v>Medium</v>
          </cell>
          <cell r="AB451">
            <v>1.91</v>
          </cell>
        </row>
        <row r="452">
          <cell r="B452" t="str">
            <v>Pranav Joshi</v>
          </cell>
          <cell r="I452" t="str">
            <v>Correct</v>
          </cell>
          <cell r="J452">
            <v>1.83</v>
          </cell>
          <cell r="K452" t="str">
            <v>Medium</v>
          </cell>
          <cell r="AB452">
            <v>1.97</v>
          </cell>
        </row>
        <row r="453">
          <cell r="B453" t="str">
            <v>Pranav Joshi</v>
          </cell>
          <cell r="I453" t="str">
            <v>Wrong</v>
          </cell>
          <cell r="J453">
            <v>1.55</v>
          </cell>
          <cell r="K453" t="str">
            <v>Medium</v>
          </cell>
          <cell r="AB453">
            <v>0</v>
          </cell>
        </row>
        <row r="454">
          <cell r="B454" t="str">
            <v>Pranav Joshi</v>
          </cell>
          <cell r="I454" t="str">
            <v>Correct</v>
          </cell>
          <cell r="J454">
            <v>1.23</v>
          </cell>
          <cell r="K454" t="str">
            <v>Medium</v>
          </cell>
          <cell r="AB454">
            <v>2</v>
          </cell>
        </row>
        <row r="455">
          <cell r="B455" t="str">
            <v>Pranav Joshi</v>
          </cell>
          <cell r="I455" t="str">
            <v>Wrong</v>
          </cell>
          <cell r="J455">
            <v>2.14</v>
          </cell>
          <cell r="K455" t="str">
            <v>Medium</v>
          </cell>
          <cell r="AB455">
            <v>0</v>
          </cell>
        </row>
        <row r="456">
          <cell r="B456" t="str">
            <v>Pranav Joshi</v>
          </cell>
          <cell r="I456" t="str">
            <v>Wrong</v>
          </cell>
          <cell r="J456">
            <v>2.0099999999999998</v>
          </cell>
          <cell r="K456" t="str">
            <v>Medium</v>
          </cell>
          <cell r="AB456">
            <v>0</v>
          </cell>
        </row>
        <row r="457">
          <cell r="B457" t="str">
            <v>Pranav Joshi</v>
          </cell>
          <cell r="I457" t="str">
            <v>Wrong</v>
          </cell>
          <cell r="J457">
            <v>2.02</v>
          </cell>
          <cell r="K457" t="str">
            <v>High</v>
          </cell>
          <cell r="AB457">
            <v>0</v>
          </cell>
        </row>
        <row r="458">
          <cell r="B458" t="str">
            <v>Pranav Joshi</v>
          </cell>
          <cell r="I458" t="str">
            <v>Correct</v>
          </cell>
          <cell r="J458">
            <v>2</v>
          </cell>
          <cell r="K458" t="str">
            <v>High</v>
          </cell>
          <cell r="AB458">
            <v>3</v>
          </cell>
        </row>
        <row r="459">
          <cell r="B459" t="str">
            <v>Pranav Joshi</v>
          </cell>
          <cell r="I459" t="str">
            <v>Wrong</v>
          </cell>
          <cell r="J459">
            <v>1.22</v>
          </cell>
          <cell r="K459" t="str">
            <v>High</v>
          </cell>
          <cell r="AB459">
            <v>0</v>
          </cell>
        </row>
        <row r="460">
          <cell r="B460" t="str">
            <v>Pranav Joshi</v>
          </cell>
          <cell r="I460" t="str">
            <v>Correct</v>
          </cell>
          <cell r="J460">
            <v>1.7</v>
          </cell>
          <cell r="K460" t="str">
            <v>High</v>
          </cell>
          <cell r="AB460">
            <v>3</v>
          </cell>
        </row>
        <row r="461">
          <cell r="B461" t="str">
            <v>Pranav Joshi</v>
          </cell>
          <cell r="I461" t="str">
            <v>Correct</v>
          </cell>
          <cell r="J461">
            <v>2.23</v>
          </cell>
          <cell r="K461" t="str">
            <v>High</v>
          </cell>
          <cell r="AB461">
            <v>2.69</v>
          </cell>
        </row>
        <row r="462">
          <cell r="B462" t="str">
            <v>Keerthana Mohan</v>
          </cell>
          <cell r="I462" t="str">
            <v>Correct</v>
          </cell>
          <cell r="J462">
            <v>1.4</v>
          </cell>
          <cell r="K462" t="str">
            <v>Low</v>
          </cell>
          <cell r="AB462">
            <v>2</v>
          </cell>
        </row>
        <row r="463">
          <cell r="B463" t="str">
            <v>Keerthana Mohan</v>
          </cell>
          <cell r="I463" t="str">
            <v>Correct</v>
          </cell>
          <cell r="J463">
            <v>1.64</v>
          </cell>
          <cell r="K463" t="str">
            <v>Low</v>
          </cell>
          <cell r="AB463">
            <v>0.92</v>
          </cell>
        </row>
        <row r="464">
          <cell r="B464" t="str">
            <v>Keerthana Mohan</v>
          </cell>
          <cell r="I464" t="str">
            <v>Correct</v>
          </cell>
          <cell r="J464">
            <v>1.49</v>
          </cell>
          <cell r="K464" t="str">
            <v>Low</v>
          </cell>
          <cell r="AB464">
            <v>2</v>
          </cell>
        </row>
        <row r="465">
          <cell r="B465" t="str">
            <v>Keerthana Mohan</v>
          </cell>
          <cell r="I465" t="str">
            <v>Correct</v>
          </cell>
          <cell r="J465">
            <v>1.6</v>
          </cell>
          <cell r="K465" t="str">
            <v>Low</v>
          </cell>
          <cell r="AB465">
            <v>0.94</v>
          </cell>
        </row>
        <row r="466">
          <cell r="B466" t="str">
            <v>Keerthana Mohan</v>
          </cell>
          <cell r="I466" t="str">
            <v>Correct</v>
          </cell>
          <cell r="J466">
            <v>0.96</v>
          </cell>
          <cell r="K466" t="str">
            <v>Low</v>
          </cell>
          <cell r="AB466">
            <v>1</v>
          </cell>
        </row>
        <row r="467">
          <cell r="B467" t="str">
            <v>Keerthana Mohan</v>
          </cell>
          <cell r="I467" t="str">
            <v>Correct</v>
          </cell>
          <cell r="J467">
            <v>1.04</v>
          </cell>
          <cell r="K467" t="str">
            <v>Low</v>
          </cell>
          <cell r="AB467">
            <v>2</v>
          </cell>
        </row>
        <row r="468">
          <cell r="B468" t="str">
            <v>Keerthana Mohan</v>
          </cell>
          <cell r="I468" t="str">
            <v>Correct</v>
          </cell>
          <cell r="J468">
            <v>1.86</v>
          </cell>
          <cell r="K468" t="str">
            <v>Low</v>
          </cell>
          <cell r="AB468">
            <v>0.81</v>
          </cell>
        </row>
        <row r="469">
          <cell r="B469" t="str">
            <v>Keerthana Mohan</v>
          </cell>
          <cell r="I469" t="str">
            <v>Correct</v>
          </cell>
          <cell r="J469">
            <v>1.1499999999999999</v>
          </cell>
          <cell r="K469" t="str">
            <v>Low</v>
          </cell>
          <cell r="AB469">
            <v>2</v>
          </cell>
        </row>
        <row r="470">
          <cell r="B470" t="str">
            <v>Keerthana Mohan</v>
          </cell>
          <cell r="I470" t="str">
            <v>Wrong</v>
          </cell>
          <cell r="J470">
            <v>2</v>
          </cell>
          <cell r="K470" t="str">
            <v>Low</v>
          </cell>
          <cell r="AB470">
            <v>0</v>
          </cell>
        </row>
        <row r="471">
          <cell r="B471" t="str">
            <v>Keerthana Mohan</v>
          </cell>
          <cell r="I471" t="str">
            <v>Wrong</v>
          </cell>
          <cell r="J471">
            <v>2.0499999999999998</v>
          </cell>
          <cell r="K471" t="str">
            <v>Medium</v>
          </cell>
          <cell r="AB471">
            <v>0</v>
          </cell>
        </row>
        <row r="472">
          <cell r="B472" t="str">
            <v>Keerthana Mohan</v>
          </cell>
          <cell r="I472" t="str">
            <v>Correct</v>
          </cell>
          <cell r="J472">
            <v>1.19</v>
          </cell>
          <cell r="K472" t="str">
            <v>Medium</v>
          </cell>
          <cell r="AB472">
            <v>2</v>
          </cell>
        </row>
        <row r="473">
          <cell r="B473" t="str">
            <v>Keerthana Mohan</v>
          </cell>
          <cell r="I473" t="str">
            <v>Correct</v>
          </cell>
          <cell r="J473">
            <v>1.81</v>
          </cell>
          <cell r="K473" t="str">
            <v>Medium</v>
          </cell>
          <cell r="AB473">
            <v>1.99</v>
          </cell>
        </row>
        <row r="474">
          <cell r="B474" t="str">
            <v>Keerthana Mohan</v>
          </cell>
          <cell r="I474" t="str">
            <v>Wrong</v>
          </cell>
          <cell r="J474">
            <v>1.96</v>
          </cell>
          <cell r="K474" t="str">
            <v>Medium</v>
          </cell>
          <cell r="AB474">
            <v>0</v>
          </cell>
        </row>
        <row r="475">
          <cell r="B475" t="str">
            <v>Keerthana Mohan</v>
          </cell>
          <cell r="I475" t="str">
            <v>Wrong</v>
          </cell>
          <cell r="J475">
            <v>1.26</v>
          </cell>
          <cell r="K475" t="str">
            <v>Medium</v>
          </cell>
          <cell r="AB475">
            <v>0</v>
          </cell>
        </row>
        <row r="476">
          <cell r="B476" t="str">
            <v>Keerthana Mohan</v>
          </cell>
          <cell r="I476" t="str">
            <v>Correct</v>
          </cell>
          <cell r="J476">
            <v>2.2599999999999998</v>
          </cell>
          <cell r="K476" t="str">
            <v>Medium</v>
          </cell>
          <cell r="AB476">
            <v>1.59</v>
          </cell>
        </row>
        <row r="477">
          <cell r="B477" t="str">
            <v>Keerthana Mohan</v>
          </cell>
          <cell r="I477" t="str">
            <v>Correct</v>
          </cell>
          <cell r="J477">
            <v>1.99</v>
          </cell>
          <cell r="K477" t="str">
            <v>High</v>
          </cell>
          <cell r="AB477">
            <v>3</v>
          </cell>
        </row>
        <row r="478">
          <cell r="B478" t="str">
            <v>Keerthana Mohan</v>
          </cell>
          <cell r="I478" t="str">
            <v>Correct</v>
          </cell>
          <cell r="J478">
            <v>1.23</v>
          </cell>
          <cell r="K478" t="str">
            <v>High</v>
          </cell>
          <cell r="AB478">
            <v>3</v>
          </cell>
        </row>
        <row r="479">
          <cell r="B479" t="str">
            <v>Keerthana Mohan</v>
          </cell>
          <cell r="I479" t="str">
            <v>Correct</v>
          </cell>
          <cell r="J479">
            <v>2.2799999999999998</v>
          </cell>
          <cell r="K479" t="str">
            <v>High</v>
          </cell>
          <cell r="AB479">
            <v>2.63</v>
          </cell>
        </row>
        <row r="480">
          <cell r="B480" t="str">
            <v>Keerthana Mohan</v>
          </cell>
          <cell r="I480" t="str">
            <v>Correct</v>
          </cell>
          <cell r="J480">
            <v>1.6</v>
          </cell>
          <cell r="K480" t="str">
            <v>High</v>
          </cell>
          <cell r="AB480">
            <v>3</v>
          </cell>
        </row>
        <row r="481">
          <cell r="B481" t="str">
            <v>Keerthana Mohan</v>
          </cell>
          <cell r="I481" t="str">
            <v>Wrong</v>
          </cell>
          <cell r="J481">
            <v>1.98</v>
          </cell>
          <cell r="K481" t="str">
            <v>High</v>
          </cell>
          <cell r="AB481">
            <v>0</v>
          </cell>
        </row>
        <row r="482">
          <cell r="B482" t="str">
            <v>Manoj Kumar</v>
          </cell>
          <cell r="I482" t="str">
            <v>Correct</v>
          </cell>
          <cell r="J482">
            <v>1.1299999999999999</v>
          </cell>
          <cell r="K482" t="str">
            <v>Low</v>
          </cell>
          <cell r="AB482">
            <v>2</v>
          </cell>
        </row>
        <row r="483">
          <cell r="B483" t="str">
            <v>Manoj Kumar</v>
          </cell>
          <cell r="I483" t="str">
            <v>Correct</v>
          </cell>
          <cell r="J483">
            <v>1.08</v>
          </cell>
          <cell r="K483" t="str">
            <v>Low</v>
          </cell>
          <cell r="AB483">
            <v>1</v>
          </cell>
        </row>
        <row r="484">
          <cell r="B484" t="str">
            <v>Manoj Kumar</v>
          </cell>
          <cell r="I484" t="str">
            <v>Wrong</v>
          </cell>
          <cell r="J484">
            <v>1.22</v>
          </cell>
          <cell r="K484" t="str">
            <v>Low</v>
          </cell>
          <cell r="AB484">
            <v>0</v>
          </cell>
        </row>
        <row r="485">
          <cell r="B485" t="str">
            <v>Manoj Kumar</v>
          </cell>
          <cell r="I485" t="str">
            <v>Correct</v>
          </cell>
          <cell r="J485">
            <v>1.88</v>
          </cell>
          <cell r="K485" t="str">
            <v>Low</v>
          </cell>
          <cell r="AB485">
            <v>0.8</v>
          </cell>
        </row>
        <row r="486">
          <cell r="B486" t="str">
            <v>Manoj Kumar</v>
          </cell>
          <cell r="I486" t="str">
            <v>Correct</v>
          </cell>
          <cell r="J486">
            <v>1.1100000000000001</v>
          </cell>
          <cell r="K486" t="str">
            <v>Low</v>
          </cell>
          <cell r="AB486">
            <v>1</v>
          </cell>
        </row>
        <row r="487">
          <cell r="B487" t="str">
            <v>Manoj Kumar</v>
          </cell>
          <cell r="I487" t="str">
            <v>Correct</v>
          </cell>
          <cell r="J487">
            <v>1.32</v>
          </cell>
          <cell r="K487" t="str">
            <v>Low</v>
          </cell>
          <cell r="AB487">
            <v>2</v>
          </cell>
        </row>
        <row r="488">
          <cell r="B488" t="str">
            <v>Manoj Kumar</v>
          </cell>
          <cell r="I488" t="str">
            <v>Correct</v>
          </cell>
          <cell r="J488">
            <v>1.3</v>
          </cell>
          <cell r="K488" t="str">
            <v>Low</v>
          </cell>
          <cell r="AB488">
            <v>1</v>
          </cell>
        </row>
        <row r="489">
          <cell r="B489" t="str">
            <v>Manoj Kumar</v>
          </cell>
          <cell r="I489" t="str">
            <v>Wrong</v>
          </cell>
          <cell r="J489">
            <v>1.84</v>
          </cell>
          <cell r="K489" t="str">
            <v>Low</v>
          </cell>
          <cell r="AB489">
            <v>0</v>
          </cell>
        </row>
        <row r="490">
          <cell r="B490" t="str">
            <v>Manoj Kumar</v>
          </cell>
          <cell r="I490" t="str">
            <v>Correct</v>
          </cell>
          <cell r="J490">
            <v>0.91</v>
          </cell>
          <cell r="K490" t="str">
            <v>Low</v>
          </cell>
          <cell r="AB490">
            <v>2</v>
          </cell>
        </row>
        <row r="491">
          <cell r="B491" t="str">
            <v>Manoj Kumar</v>
          </cell>
          <cell r="I491" t="str">
            <v>Correct</v>
          </cell>
          <cell r="J491">
            <v>1.79</v>
          </cell>
          <cell r="K491" t="str">
            <v>Medium</v>
          </cell>
          <cell r="AB491">
            <v>2</v>
          </cell>
        </row>
        <row r="492">
          <cell r="B492" t="str">
            <v>Manoj Kumar</v>
          </cell>
          <cell r="I492" t="str">
            <v>Correct</v>
          </cell>
          <cell r="J492">
            <v>1.21</v>
          </cell>
          <cell r="K492" t="str">
            <v>Medium</v>
          </cell>
          <cell r="AB492">
            <v>2</v>
          </cell>
        </row>
        <row r="493">
          <cell r="B493" t="str">
            <v>Manoj Kumar</v>
          </cell>
          <cell r="I493" t="str">
            <v>Correct</v>
          </cell>
          <cell r="J493">
            <v>1.76</v>
          </cell>
          <cell r="K493" t="str">
            <v>Medium</v>
          </cell>
          <cell r="AB493">
            <v>2</v>
          </cell>
        </row>
        <row r="494">
          <cell r="B494" t="str">
            <v>Manoj Kumar</v>
          </cell>
          <cell r="I494" t="str">
            <v>Correct</v>
          </cell>
          <cell r="J494">
            <v>1.33</v>
          </cell>
          <cell r="K494" t="str">
            <v>Medium</v>
          </cell>
          <cell r="AB494">
            <v>2</v>
          </cell>
        </row>
        <row r="495">
          <cell r="B495" t="str">
            <v>Manoj Kumar</v>
          </cell>
          <cell r="I495" t="str">
            <v>Wrong</v>
          </cell>
          <cell r="J495">
            <v>1.21</v>
          </cell>
          <cell r="K495" t="str">
            <v>Medium</v>
          </cell>
          <cell r="AB495">
            <v>0</v>
          </cell>
        </row>
        <row r="496">
          <cell r="B496" t="str">
            <v>Manoj Kumar</v>
          </cell>
          <cell r="I496" t="str">
            <v>Correct</v>
          </cell>
          <cell r="J496">
            <v>1.75</v>
          </cell>
          <cell r="K496" t="str">
            <v>Medium</v>
          </cell>
          <cell r="AB496">
            <v>2</v>
          </cell>
        </row>
        <row r="497">
          <cell r="B497" t="str">
            <v>Manoj Kumar</v>
          </cell>
          <cell r="I497" t="str">
            <v>Correct</v>
          </cell>
          <cell r="J497">
            <v>1.36</v>
          </cell>
          <cell r="K497" t="str">
            <v>High</v>
          </cell>
          <cell r="AB497">
            <v>3</v>
          </cell>
        </row>
        <row r="498">
          <cell r="B498" t="str">
            <v>Manoj Kumar</v>
          </cell>
          <cell r="I498" t="str">
            <v>Correct</v>
          </cell>
          <cell r="J498">
            <v>1.96</v>
          </cell>
          <cell r="K498" t="str">
            <v>High</v>
          </cell>
          <cell r="AB498">
            <v>3</v>
          </cell>
        </row>
        <row r="499">
          <cell r="B499" t="str">
            <v>Manoj Kumar</v>
          </cell>
          <cell r="I499" t="str">
            <v>Wrong</v>
          </cell>
          <cell r="J499">
            <v>1.52</v>
          </cell>
          <cell r="K499" t="str">
            <v>High</v>
          </cell>
          <cell r="AB499">
            <v>0</v>
          </cell>
        </row>
        <row r="500">
          <cell r="B500" t="str">
            <v>Manoj Kumar</v>
          </cell>
          <cell r="I500" t="str">
            <v>Wrong</v>
          </cell>
          <cell r="J500">
            <v>1.69</v>
          </cell>
          <cell r="K500" t="str">
            <v>High</v>
          </cell>
          <cell r="AB500">
            <v>0</v>
          </cell>
        </row>
        <row r="501">
          <cell r="B501" t="str">
            <v>Manoj Kumar</v>
          </cell>
          <cell r="I501" t="str">
            <v>Wrong</v>
          </cell>
          <cell r="J501">
            <v>1.44</v>
          </cell>
          <cell r="K501" t="str">
            <v>High</v>
          </cell>
          <cell r="AB501">
            <v>0</v>
          </cell>
        </row>
        <row r="502">
          <cell r="B502" t="str">
            <v>Shreya Kapoor</v>
          </cell>
          <cell r="I502" t="str">
            <v>Correct</v>
          </cell>
          <cell r="J502">
            <v>1.91</v>
          </cell>
          <cell r="K502" t="str">
            <v>Low</v>
          </cell>
          <cell r="AB502">
            <v>1.57</v>
          </cell>
        </row>
        <row r="503">
          <cell r="B503" t="str">
            <v>Shreya Kapoor</v>
          </cell>
          <cell r="I503" t="str">
            <v>Correct</v>
          </cell>
          <cell r="J503">
            <v>1.91</v>
          </cell>
          <cell r="K503" t="str">
            <v>Low</v>
          </cell>
          <cell r="AB503">
            <v>0.79</v>
          </cell>
        </row>
        <row r="504">
          <cell r="B504" t="str">
            <v>Shreya Kapoor</v>
          </cell>
          <cell r="I504" t="str">
            <v>Correct</v>
          </cell>
          <cell r="J504">
            <v>1.07</v>
          </cell>
          <cell r="K504" t="str">
            <v>Low</v>
          </cell>
          <cell r="AB504">
            <v>2</v>
          </cell>
        </row>
        <row r="505">
          <cell r="B505" t="str">
            <v>Shreya Kapoor</v>
          </cell>
          <cell r="I505" t="str">
            <v>Correct</v>
          </cell>
          <cell r="J505">
            <v>1.4</v>
          </cell>
          <cell r="K505" t="str">
            <v>Low</v>
          </cell>
          <cell r="AB505">
            <v>1</v>
          </cell>
        </row>
        <row r="506">
          <cell r="B506" t="str">
            <v>Shreya Kapoor</v>
          </cell>
          <cell r="I506" t="str">
            <v>Correct</v>
          </cell>
          <cell r="J506">
            <v>1.88</v>
          </cell>
          <cell r="K506" t="str">
            <v>Low</v>
          </cell>
          <cell r="AB506">
            <v>0.8</v>
          </cell>
        </row>
        <row r="507">
          <cell r="B507" t="str">
            <v>Shreya Kapoor</v>
          </cell>
          <cell r="I507" t="str">
            <v>Correct</v>
          </cell>
          <cell r="J507">
            <v>1.94</v>
          </cell>
          <cell r="K507" t="str">
            <v>Low</v>
          </cell>
          <cell r="AB507">
            <v>1.55</v>
          </cell>
        </row>
        <row r="508">
          <cell r="B508" t="str">
            <v>Shreya Kapoor</v>
          </cell>
          <cell r="I508" t="str">
            <v>Correct</v>
          </cell>
          <cell r="J508">
            <v>1.69</v>
          </cell>
          <cell r="K508" t="str">
            <v>Low</v>
          </cell>
          <cell r="AB508">
            <v>0.89</v>
          </cell>
        </row>
        <row r="509">
          <cell r="B509" t="str">
            <v>Shreya Kapoor</v>
          </cell>
          <cell r="I509" t="str">
            <v>Wrong</v>
          </cell>
          <cell r="J509">
            <v>1.24</v>
          </cell>
          <cell r="K509" t="str">
            <v>Low</v>
          </cell>
          <cell r="AB509">
            <v>0</v>
          </cell>
        </row>
        <row r="510">
          <cell r="B510" t="str">
            <v>Shreya Kapoor</v>
          </cell>
          <cell r="I510" t="str">
            <v>Correct</v>
          </cell>
          <cell r="J510">
            <v>1.18</v>
          </cell>
          <cell r="K510" t="str">
            <v>Low</v>
          </cell>
          <cell r="AB510">
            <v>2</v>
          </cell>
        </row>
        <row r="511">
          <cell r="B511" t="str">
            <v>Shreya Kapoor</v>
          </cell>
          <cell r="I511" t="str">
            <v>Wrong</v>
          </cell>
          <cell r="J511">
            <v>2.09</v>
          </cell>
          <cell r="K511" t="str">
            <v>Medium</v>
          </cell>
          <cell r="AB511">
            <v>0</v>
          </cell>
        </row>
        <row r="512">
          <cell r="B512" t="str">
            <v>Shreya Kapoor</v>
          </cell>
          <cell r="I512" t="str">
            <v>Correct</v>
          </cell>
          <cell r="J512">
            <v>1.19</v>
          </cell>
          <cell r="K512" t="str">
            <v>Medium</v>
          </cell>
          <cell r="AB512">
            <v>2</v>
          </cell>
        </row>
        <row r="513">
          <cell r="B513" t="str">
            <v>Shreya Kapoor</v>
          </cell>
          <cell r="I513" t="str">
            <v>Correct</v>
          </cell>
          <cell r="J513">
            <v>1.48</v>
          </cell>
          <cell r="K513" t="str">
            <v>Medium</v>
          </cell>
          <cell r="AB513">
            <v>2</v>
          </cell>
        </row>
        <row r="514">
          <cell r="B514" t="str">
            <v>Shreya Kapoor</v>
          </cell>
          <cell r="I514" t="str">
            <v>Correct</v>
          </cell>
          <cell r="J514">
            <v>1.46</v>
          </cell>
          <cell r="K514" t="str">
            <v>Medium</v>
          </cell>
          <cell r="AB514">
            <v>2</v>
          </cell>
        </row>
        <row r="515">
          <cell r="B515" t="str">
            <v>Shreya Kapoor</v>
          </cell>
          <cell r="I515" t="str">
            <v>Wrong</v>
          </cell>
          <cell r="J515">
            <v>2.19</v>
          </cell>
          <cell r="K515" t="str">
            <v>Medium</v>
          </cell>
          <cell r="AB515">
            <v>0</v>
          </cell>
        </row>
        <row r="516">
          <cell r="B516" t="str">
            <v>Shreya Kapoor</v>
          </cell>
          <cell r="I516" t="str">
            <v>Correct</v>
          </cell>
          <cell r="J516">
            <v>1.1599999999999999</v>
          </cell>
          <cell r="K516" t="str">
            <v>Medium</v>
          </cell>
          <cell r="AB516">
            <v>2</v>
          </cell>
        </row>
        <row r="517">
          <cell r="B517" t="str">
            <v>Shreya Kapoor</v>
          </cell>
          <cell r="I517" t="str">
            <v>Wrong</v>
          </cell>
          <cell r="J517">
            <v>1.61</v>
          </cell>
          <cell r="K517" t="str">
            <v>High</v>
          </cell>
          <cell r="AB517">
            <v>0</v>
          </cell>
        </row>
        <row r="518">
          <cell r="B518" t="str">
            <v>Shreya Kapoor</v>
          </cell>
          <cell r="I518" t="str">
            <v>Correct</v>
          </cell>
          <cell r="J518">
            <v>1.81</v>
          </cell>
          <cell r="K518" t="str">
            <v>High</v>
          </cell>
          <cell r="AB518">
            <v>3</v>
          </cell>
        </row>
        <row r="519">
          <cell r="B519" t="str">
            <v>Shreya Kapoor</v>
          </cell>
          <cell r="I519" t="str">
            <v>Wrong</v>
          </cell>
          <cell r="J519">
            <v>2.12</v>
          </cell>
          <cell r="K519" t="str">
            <v>High</v>
          </cell>
          <cell r="AB519">
            <v>0</v>
          </cell>
        </row>
        <row r="520">
          <cell r="B520" t="str">
            <v>Shreya Kapoor</v>
          </cell>
          <cell r="I520" t="str">
            <v>Wrong</v>
          </cell>
          <cell r="J520">
            <v>1.22</v>
          </cell>
          <cell r="K520" t="str">
            <v>High</v>
          </cell>
          <cell r="AB520">
            <v>0</v>
          </cell>
        </row>
        <row r="521">
          <cell r="B521" t="str">
            <v>Shreya Kapoor</v>
          </cell>
          <cell r="I521" t="str">
            <v>Wrong</v>
          </cell>
          <cell r="J521">
            <v>1.48</v>
          </cell>
          <cell r="K521" t="str">
            <v>High</v>
          </cell>
          <cell r="AB521">
            <v>0</v>
          </cell>
        </row>
        <row r="522">
          <cell r="B522" t="str">
            <v>Surya Prakash</v>
          </cell>
          <cell r="I522" t="str">
            <v>Correct</v>
          </cell>
          <cell r="J522">
            <v>1.6</v>
          </cell>
          <cell r="K522" t="str">
            <v>Low</v>
          </cell>
          <cell r="AB522">
            <v>1.88</v>
          </cell>
        </row>
        <row r="523">
          <cell r="B523" t="str">
            <v>Surya Prakash</v>
          </cell>
          <cell r="I523" t="str">
            <v>Wrong</v>
          </cell>
          <cell r="J523">
            <v>1.38</v>
          </cell>
          <cell r="K523" t="str">
            <v>Low</v>
          </cell>
          <cell r="AB523">
            <v>0</v>
          </cell>
        </row>
        <row r="524">
          <cell r="B524" t="str">
            <v>Surya Prakash</v>
          </cell>
          <cell r="I524" t="str">
            <v>Correct</v>
          </cell>
          <cell r="J524">
            <v>1.93</v>
          </cell>
          <cell r="K524" t="str">
            <v>Low</v>
          </cell>
          <cell r="AB524">
            <v>1.55</v>
          </cell>
        </row>
        <row r="525">
          <cell r="B525" t="str">
            <v>Surya Prakash</v>
          </cell>
          <cell r="I525" t="str">
            <v>Correct</v>
          </cell>
          <cell r="J525">
            <v>0.96</v>
          </cell>
          <cell r="K525" t="str">
            <v>Low</v>
          </cell>
          <cell r="AB525">
            <v>1</v>
          </cell>
        </row>
        <row r="526">
          <cell r="B526" t="str">
            <v>Surya Prakash</v>
          </cell>
          <cell r="I526" t="str">
            <v>Correct</v>
          </cell>
          <cell r="J526">
            <v>1.56</v>
          </cell>
          <cell r="K526" t="str">
            <v>Low</v>
          </cell>
          <cell r="AB526">
            <v>0.96</v>
          </cell>
        </row>
        <row r="527">
          <cell r="B527" t="str">
            <v>Surya Prakash</v>
          </cell>
          <cell r="I527" t="str">
            <v>Correct</v>
          </cell>
          <cell r="J527">
            <v>1.42</v>
          </cell>
          <cell r="K527" t="str">
            <v>Low</v>
          </cell>
          <cell r="AB527">
            <v>2</v>
          </cell>
        </row>
        <row r="528">
          <cell r="B528" t="str">
            <v>Surya Prakash</v>
          </cell>
          <cell r="I528" t="str">
            <v>Correct</v>
          </cell>
          <cell r="J528">
            <v>1.85</v>
          </cell>
          <cell r="K528" t="str">
            <v>Low</v>
          </cell>
          <cell r="AB528">
            <v>0.81</v>
          </cell>
        </row>
        <row r="529">
          <cell r="B529" t="str">
            <v>Surya Prakash</v>
          </cell>
          <cell r="I529" t="str">
            <v>Correct</v>
          </cell>
          <cell r="J529">
            <v>1.42</v>
          </cell>
          <cell r="K529" t="str">
            <v>Low</v>
          </cell>
          <cell r="AB529">
            <v>2</v>
          </cell>
        </row>
        <row r="530">
          <cell r="B530" t="str">
            <v>Surya Prakash</v>
          </cell>
          <cell r="I530" t="str">
            <v>Correct</v>
          </cell>
          <cell r="J530">
            <v>1.03</v>
          </cell>
          <cell r="K530" t="str">
            <v>Low</v>
          </cell>
          <cell r="AB530">
            <v>2</v>
          </cell>
        </row>
        <row r="531">
          <cell r="B531" t="str">
            <v>Surya Prakash</v>
          </cell>
          <cell r="I531" t="str">
            <v>Wrong</v>
          </cell>
          <cell r="J531">
            <v>2.13</v>
          </cell>
          <cell r="K531" t="str">
            <v>Medium</v>
          </cell>
          <cell r="AB531">
            <v>0</v>
          </cell>
        </row>
        <row r="532">
          <cell r="B532" t="str">
            <v>Surya Prakash</v>
          </cell>
          <cell r="I532" t="str">
            <v>Correct</v>
          </cell>
          <cell r="J532">
            <v>2.25</v>
          </cell>
          <cell r="K532" t="str">
            <v>Medium</v>
          </cell>
          <cell r="AB532">
            <v>1.6</v>
          </cell>
        </row>
        <row r="533">
          <cell r="B533" t="str">
            <v>Surya Prakash</v>
          </cell>
          <cell r="I533" t="str">
            <v>Correct</v>
          </cell>
          <cell r="J533">
            <v>1.42</v>
          </cell>
          <cell r="K533" t="str">
            <v>Medium</v>
          </cell>
          <cell r="AB533">
            <v>2</v>
          </cell>
        </row>
        <row r="534">
          <cell r="B534" t="str">
            <v>Surya Prakash</v>
          </cell>
          <cell r="I534" t="str">
            <v>Correct</v>
          </cell>
          <cell r="J534">
            <v>1.39</v>
          </cell>
          <cell r="K534" t="str">
            <v>Medium</v>
          </cell>
          <cell r="AB534">
            <v>2</v>
          </cell>
        </row>
        <row r="535">
          <cell r="B535" t="str">
            <v>Surya Prakash</v>
          </cell>
          <cell r="I535" t="str">
            <v>Correct</v>
          </cell>
          <cell r="J535">
            <v>1.37</v>
          </cell>
          <cell r="K535" t="str">
            <v>Medium</v>
          </cell>
          <cell r="AB535">
            <v>2</v>
          </cell>
        </row>
        <row r="536">
          <cell r="B536" t="str">
            <v>Surya Prakash</v>
          </cell>
          <cell r="I536" t="str">
            <v>Correct</v>
          </cell>
          <cell r="J536">
            <v>1.35</v>
          </cell>
          <cell r="K536" t="str">
            <v>Medium</v>
          </cell>
          <cell r="AB536">
            <v>2</v>
          </cell>
        </row>
        <row r="537">
          <cell r="B537" t="str">
            <v>Surya Prakash</v>
          </cell>
          <cell r="I537" t="str">
            <v>Wrong</v>
          </cell>
          <cell r="J537">
            <v>1.84</v>
          </cell>
          <cell r="K537" t="str">
            <v>High</v>
          </cell>
          <cell r="AB537">
            <v>0</v>
          </cell>
        </row>
        <row r="538">
          <cell r="B538" t="str">
            <v>Surya Prakash</v>
          </cell>
          <cell r="I538" t="str">
            <v>Correct</v>
          </cell>
          <cell r="J538">
            <v>2.16</v>
          </cell>
          <cell r="K538" t="str">
            <v>High</v>
          </cell>
          <cell r="AB538">
            <v>2.78</v>
          </cell>
        </row>
        <row r="539">
          <cell r="B539" t="str">
            <v>Surya Prakash</v>
          </cell>
          <cell r="I539" t="str">
            <v>Wrong</v>
          </cell>
          <cell r="J539">
            <v>1.25</v>
          </cell>
          <cell r="K539" t="str">
            <v>High</v>
          </cell>
          <cell r="AB539">
            <v>0</v>
          </cell>
        </row>
        <row r="540">
          <cell r="B540" t="str">
            <v>Surya Prakash</v>
          </cell>
          <cell r="I540" t="str">
            <v>Correct</v>
          </cell>
          <cell r="J540">
            <v>2.56</v>
          </cell>
          <cell r="K540" t="str">
            <v>High</v>
          </cell>
          <cell r="AB540">
            <v>2.34</v>
          </cell>
        </row>
        <row r="541">
          <cell r="B541" t="str">
            <v>Surya Prakash</v>
          </cell>
          <cell r="I541" t="str">
            <v>Correct</v>
          </cell>
          <cell r="J541">
            <v>1.86</v>
          </cell>
          <cell r="K541" t="str">
            <v>High</v>
          </cell>
          <cell r="AB541">
            <v>3</v>
          </cell>
        </row>
        <row r="542">
          <cell r="B542" t="str">
            <v>Abinaya Selvam</v>
          </cell>
          <cell r="I542" t="str">
            <v>Correct</v>
          </cell>
          <cell r="J542">
            <v>1.98</v>
          </cell>
          <cell r="K542" t="str">
            <v>Low</v>
          </cell>
          <cell r="AB542">
            <v>1.52</v>
          </cell>
        </row>
        <row r="543">
          <cell r="B543" t="str">
            <v>Abinaya Selvam</v>
          </cell>
          <cell r="I543" t="str">
            <v>Wrong</v>
          </cell>
          <cell r="J543">
            <v>1.7</v>
          </cell>
          <cell r="K543" t="str">
            <v>Low</v>
          </cell>
          <cell r="AB543">
            <v>0</v>
          </cell>
        </row>
        <row r="544">
          <cell r="B544" t="str">
            <v>Abinaya Selvam</v>
          </cell>
          <cell r="I544" t="str">
            <v>Correct</v>
          </cell>
          <cell r="J544">
            <v>1.79</v>
          </cell>
          <cell r="K544" t="str">
            <v>Low</v>
          </cell>
          <cell r="AB544">
            <v>1.68</v>
          </cell>
        </row>
        <row r="545">
          <cell r="B545" t="str">
            <v>Abinaya Selvam</v>
          </cell>
          <cell r="I545" t="str">
            <v>Wrong</v>
          </cell>
          <cell r="J545">
            <v>1.5</v>
          </cell>
          <cell r="K545" t="str">
            <v>Low</v>
          </cell>
          <cell r="AB545">
            <v>0</v>
          </cell>
        </row>
        <row r="546">
          <cell r="B546" t="str">
            <v>Abinaya Selvam</v>
          </cell>
          <cell r="I546" t="str">
            <v>Correct</v>
          </cell>
          <cell r="J546">
            <v>1.84</v>
          </cell>
          <cell r="K546" t="str">
            <v>Low</v>
          </cell>
          <cell r="AB546">
            <v>0.82</v>
          </cell>
        </row>
        <row r="547">
          <cell r="B547" t="str">
            <v>Abinaya Selvam</v>
          </cell>
          <cell r="I547" t="str">
            <v>Correct</v>
          </cell>
          <cell r="J547">
            <v>1.71</v>
          </cell>
          <cell r="K547" t="str">
            <v>Low</v>
          </cell>
          <cell r="AB547">
            <v>1.75</v>
          </cell>
        </row>
        <row r="548">
          <cell r="B548" t="str">
            <v>Abinaya Selvam</v>
          </cell>
          <cell r="I548" t="str">
            <v>Correct</v>
          </cell>
          <cell r="J548">
            <v>1.1100000000000001</v>
          </cell>
          <cell r="K548" t="str">
            <v>Low</v>
          </cell>
          <cell r="AB548">
            <v>1</v>
          </cell>
        </row>
        <row r="549">
          <cell r="B549" t="str">
            <v>Abinaya Selvam</v>
          </cell>
          <cell r="I549" t="str">
            <v>Correct</v>
          </cell>
          <cell r="J549">
            <v>1.41</v>
          </cell>
          <cell r="K549" t="str">
            <v>Low</v>
          </cell>
          <cell r="AB549">
            <v>2</v>
          </cell>
        </row>
        <row r="550">
          <cell r="B550" t="str">
            <v>Abinaya Selvam</v>
          </cell>
          <cell r="I550" t="str">
            <v>Correct</v>
          </cell>
          <cell r="J550">
            <v>1.1399999999999999</v>
          </cell>
          <cell r="K550" t="str">
            <v>Low</v>
          </cell>
          <cell r="AB550">
            <v>2</v>
          </cell>
        </row>
        <row r="551">
          <cell r="B551" t="str">
            <v>Abinaya Selvam</v>
          </cell>
          <cell r="I551" t="str">
            <v>Correct</v>
          </cell>
          <cell r="J551">
            <v>2.0299999999999998</v>
          </cell>
          <cell r="K551" t="str">
            <v>Medium</v>
          </cell>
          <cell r="AB551">
            <v>1.77</v>
          </cell>
        </row>
        <row r="552">
          <cell r="B552" t="str">
            <v>Abinaya Selvam</v>
          </cell>
          <cell r="I552" t="str">
            <v>Correct</v>
          </cell>
          <cell r="J552">
            <v>2.2200000000000002</v>
          </cell>
          <cell r="K552" t="str">
            <v>Medium</v>
          </cell>
          <cell r="AB552">
            <v>1.62</v>
          </cell>
        </row>
        <row r="553">
          <cell r="B553" t="str">
            <v>Abinaya Selvam</v>
          </cell>
          <cell r="I553" t="str">
            <v>Wrong</v>
          </cell>
          <cell r="J553">
            <v>1.59</v>
          </cell>
          <cell r="K553" t="str">
            <v>Medium</v>
          </cell>
          <cell r="AB553">
            <v>0</v>
          </cell>
        </row>
        <row r="554">
          <cell r="B554" t="str">
            <v>Abinaya Selvam</v>
          </cell>
          <cell r="I554" t="str">
            <v>Correct</v>
          </cell>
          <cell r="J554">
            <v>2.11</v>
          </cell>
          <cell r="K554" t="str">
            <v>Medium</v>
          </cell>
          <cell r="AB554">
            <v>1.71</v>
          </cell>
        </row>
        <row r="555">
          <cell r="B555" t="str">
            <v>Abinaya Selvam</v>
          </cell>
          <cell r="I555" t="str">
            <v>Correct</v>
          </cell>
          <cell r="J555">
            <v>1.1499999999999999</v>
          </cell>
          <cell r="K555" t="str">
            <v>Medium</v>
          </cell>
          <cell r="AB555">
            <v>2</v>
          </cell>
        </row>
        <row r="556">
          <cell r="B556" t="str">
            <v>Abinaya Selvam</v>
          </cell>
          <cell r="I556" t="str">
            <v>Correct</v>
          </cell>
          <cell r="J556">
            <v>1.43</v>
          </cell>
          <cell r="K556" t="str">
            <v>Medium</v>
          </cell>
          <cell r="AB556">
            <v>2</v>
          </cell>
        </row>
        <row r="557">
          <cell r="B557" t="str">
            <v>Abinaya Selvam</v>
          </cell>
          <cell r="I557" t="str">
            <v>Wrong</v>
          </cell>
          <cell r="J557">
            <v>2.44</v>
          </cell>
          <cell r="K557" t="str">
            <v>High</v>
          </cell>
          <cell r="AB557">
            <v>0</v>
          </cell>
        </row>
        <row r="558">
          <cell r="B558" t="str">
            <v>Abinaya Selvam</v>
          </cell>
          <cell r="I558" t="str">
            <v>Wrong</v>
          </cell>
          <cell r="J558">
            <v>2.17</v>
          </cell>
          <cell r="K558" t="str">
            <v>High</v>
          </cell>
          <cell r="AB558">
            <v>0</v>
          </cell>
        </row>
        <row r="559">
          <cell r="B559" t="str">
            <v>Abinaya Selvam</v>
          </cell>
          <cell r="I559" t="str">
            <v>Wrong</v>
          </cell>
          <cell r="J559">
            <v>1.26</v>
          </cell>
          <cell r="K559" t="str">
            <v>High</v>
          </cell>
          <cell r="AB559">
            <v>0</v>
          </cell>
        </row>
        <row r="560">
          <cell r="B560" t="str">
            <v>Abinaya Selvam</v>
          </cell>
          <cell r="I560" t="str">
            <v>Wrong</v>
          </cell>
          <cell r="J560">
            <v>1.67</v>
          </cell>
          <cell r="K560" t="str">
            <v>High</v>
          </cell>
          <cell r="AB560">
            <v>0</v>
          </cell>
        </row>
        <row r="561">
          <cell r="B561" t="str">
            <v>Abinaya Selvam</v>
          </cell>
          <cell r="I561" t="str">
            <v>Correct</v>
          </cell>
          <cell r="J561">
            <v>2.33</v>
          </cell>
          <cell r="K561" t="str">
            <v>High</v>
          </cell>
          <cell r="AB561">
            <v>2.57</v>
          </cell>
        </row>
        <row r="562">
          <cell r="B562" t="str">
            <v>Dinesh Kumar</v>
          </cell>
          <cell r="I562" t="str">
            <v>Correct</v>
          </cell>
          <cell r="J562">
            <v>1.74</v>
          </cell>
          <cell r="K562" t="str">
            <v>Low</v>
          </cell>
          <cell r="AB562">
            <v>1.72</v>
          </cell>
        </row>
        <row r="563">
          <cell r="B563" t="str">
            <v>Dinesh Kumar</v>
          </cell>
          <cell r="I563" t="str">
            <v>Wrong</v>
          </cell>
          <cell r="J563">
            <v>1.19</v>
          </cell>
          <cell r="K563" t="str">
            <v>Low</v>
          </cell>
          <cell r="AB563">
            <v>0</v>
          </cell>
        </row>
        <row r="564">
          <cell r="B564" t="str">
            <v>Dinesh Kumar</v>
          </cell>
          <cell r="I564" t="str">
            <v>Correct</v>
          </cell>
          <cell r="J564">
            <v>1.19</v>
          </cell>
          <cell r="K564" t="str">
            <v>Low</v>
          </cell>
          <cell r="AB564">
            <v>2</v>
          </cell>
        </row>
        <row r="565">
          <cell r="B565" t="str">
            <v>Dinesh Kumar</v>
          </cell>
          <cell r="I565" t="str">
            <v>Correct</v>
          </cell>
          <cell r="J565">
            <v>0.91</v>
          </cell>
          <cell r="K565" t="str">
            <v>Low</v>
          </cell>
          <cell r="AB565">
            <v>1</v>
          </cell>
        </row>
        <row r="566">
          <cell r="B566" t="str">
            <v>Dinesh Kumar</v>
          </cell>
          <cell r="I566" t="str">
            <v>Correct</v>
          </cell>
          <cell r="J566">
            <v>1.33</v>
          </cell>
          <cell r="K566" t="str">
            <v>Low</v>
          </cell>
          <cell r="AB566">
            <v>1</v>
          </cell>
        </row>
        <row r="567">
          <cell r="B567" t="str">
            <v>Dinesh Kumar</v>
          </cell>
          <cell r="I567" t="str">
            <v>Correct</v>
          </cell>
          <cell r="J567">
            <v>1</v>
          </cell>
          <cell r="K567" t="str">
            <v>Low</v>
          </cell>
          <cell r="AB567">
            <v>2</v>
          </cell>
        </row>
        <row r="568">
          <cell r="B568" t="str">
            <v>Dinesh Kumar</v>
          </cell>
          <cell r="I568" t="str">
            <v>Correct</v>
          </cell>
          <cell r="J568">
            <v>1.31</v>
          </cell>
          <cell r="K568" t="str">
            <v>Low</v>
          </cell>
          <cell r="AB568">
            <v>1</v>
          </cell>
        </row>
        <row r="569">
          <cell r="B569" t="str">
            <v>Dinesh Kumar</v>
          </cell>
          <cell r="I569" t="str">
            <v>Correct</v>
          </cell>
          <cell r="J569">
            <v>1.73</v>
          </cell>
          <cell r="K569" t="str">
            <v>Low</v>
          </cell>
          <cell r="AB569">
            <v>1.73</v>
          </cell>
        </row>
        <row r="570">
          <cell r="B570" t="str">
            <v>Dinesh Kumar</v>
          </cell>
          <cell r="I570" t="str">
            <v>Correct</v>
          </cell>
          <cell r="J570">
            <v>1.66</v>
          </cell>
          <cell r="K570" t="str">
            <v>Low</v>
          </cell>
          <cell r="AB570">
            <v>1.81</v>
          </cell>
        </row>
        <row r="571">
          <cell r="B571" t="str">
            <v>Dinesh Kumar</v>
          </cell>
          <cell r="I571" t="str">
            <v>Correct</v>
          </cell>
          <cell r="J571">
            <v>1.99</v>
          </cell>
          <cell r="K571" t="str">
            <v>Medium</v>
          </cell>
          <cell r="AB571">
            <v>1.81</v>
          </cell>
        </row>
        <row r="572">
          <cell r="B572" t="str">
            <v>Dinesh Kumar</v>
          </cell>
          <cell r="I572" t="str">
            <v>Correct</v>
          </cell>
          <cell r="J572">
            <v>1.1000000000000001</v>
          </cell>
          <cell r="K572" t="str">
            <v>Medium</v>
          </cell>
          <cell r="AB572">
            <v>2</v>
          </cell>
        </row>
        <row r="573">
          <cell r="B573" t="str">
            <v>Dinesh Kumar</v>
          </cell>
          <cell r="I573" t="str">
            <v>Correct</v>
          </cell>
          <cell r="J573">
            <v>1.17</v>
          </cell>
          <cell r="K573" t="str">
            <v>Medium</v>
          </cell>
          <cell r="AB573">
            <v>2</v>
          </cell>
        </row>
        <row r="574">
          <cell r="B574" t="str">
            <v>Dinesh Kumar</v>
          </cell>
          <cell r="I574" t="str">
            <v>Correct</v>
          </cell>
          <cell r="J574">
            <v>1.1200000000000001</v>
          </cell>
          <cell r="K574" t="str">
            <v>Medium</v>
          </cell>
          <cell r="AB574">
            <v>2</v>
          </cell>
        </row>
        <row r="575">
          <cell r="B575" t="str">
            <v>Dinesh Kumar</v>
          </cell>
          <cell r="I575" t="str">
            <v>Wrong</v>
          </cell>
          <cell r="J575">
            <v>1.1499999999999999</v>
          </cell>
          <cell r="K575" t="str">
            <v>Medium</v>
          </cell>
          <cell r="AB575">
            <v>0</v>
          </cell>
        </row>
        <row r="576">
          <cell r="B576" t="str">
            <v>Dinesh Kumar</v>
          </cell>
          <cell r="I576" t="str">
            <v>Correct</v>
          </cell>
          <cell r="J576">
            <v>1.48</v>
          </cell>
          <cell r="K576" t="str">
            <v>Medium</v>
          </cell>
          <cell r="AB576">
            <v>2</v>
          </cell>
        </row>
        <row r="577">
          <cell r="B577" t="str">
            <v>Dinesh Kumar</v>
          </cell>
          <cell r="I577" t="str">
            <v>Wrong</v>
          </cell>
          <cell r="J577">
            <v>1.23</v>
          </cell>
          <cell r="K577" t="str">
            <v>High</v>
          </cell>
          <cell r="AB577">
            <v>0</v>
          </cell>
        </row>
        <row r="578">
          <cell r="B578" t="str">
            <v>Dinesh Kumar</v>
          </cell>
          <cell r="I578" t="str">
            <v>Wrong</v>
          </cell>
          <cell r="J578">
            <v>1.27</v>
          </cell>
          <cell r="K578" t="str">
            <v>High</v>
          </cell>
          <cell r="AB578">
            <v>0</v>
          </cell>
        </row>
        <row r="579">
          <cell r="B579" t="str">
            <v>Dinesh Kumar</v>
          </cell>
          <cell r="I579" t="str">
            <v>Correct</v>
          </cell>
          <cell r="J579">
            <v>1.22</v>
          </cell>
          <cell r="K579" t="str">
            <v>High</v>
          </cell>
          <cell r="AB579">
            <v>3</v>
          </cell>
        </row>
        <row r="580">
          <cell r="B580" t="str">
            <v>Dinesh Kumar</v>
          </cell>
          <cell r="I580" t="str">
            <v>Correct</v>
          </cell>
          <cell r="J580">
            <v>2.52</v>
          </cell>
          <cell r="K580" t="str">
            <v>High</v>
          </cell>
          <cell r="AB580">
            <v>2.38</v>
          </cell>
        </row>
        <row r="581">
          <cell r="B581" t="str">
            <v>Dinesh Kumar</v>
          </cell>
          <cell r="I581" t="str">
            <v>Correct</v>
          </cell>
          <cell r="J581">
            <v>1.82</v>
          </cell>
          <cell r="K581" t="str">
            <v>High</v>
          </cell>
          <cell r="AB581">
            <v>3</v>
          </cell>
        </row>
        <row r="582">
          <cell r="B582" t="str">
            <v>Janani Murugan</v>
          </cell>
          <cell r="I582" t="str">
            <v>Correct</v>
          </cell>
          <cell r="J582">
            <v>0.99</v>
          </cell>
          <cell r="K582" t="str">
            <v>Low</v>
          </cell>
          <cell r="AB582">
            <v>2</v>
          </cell>
        </row>
        <row r="583">
          <cell r="B583" t="str">
            <v>Janani Murugan</v>
          </cell>
          <cell r="I583" t="str">
            <v>Wrong</v>
          </cell>
          <cell r="J583">
            <v>0.93</v>
          </cell>
          <cell r="K583" t="str">
            <v>Low</v>
          </cell>
          <cell r="AB583">
            <v>0</v>
          </cell>
        </row>
        <row r="584">
          <cell r="B584" t="str">
            <v>Janani Murugan</v>
          </cell>
          <cell r="I584" t="str">
            <v>Correct</v>
          </cell>
          <cell r="J584">
            <v>1.46</v>
          </cell>
          <cell r="K584" t="str">
            <v>Low</v>
          </cell>
          <cell r="AB584">
            <v>2</v>
          </cell>
        </row>
        <row r="585">
          <cell r="B585" t="str">
            <v>Janani Murugan</v>
          </cell>
          <cell r="I585" t="str">
            <v>Correct</v>
          </cell>
          <cell r="J585">
            <v>1.94</v>
          </cell>
          <cell r="K585" t="str">
            <v>Low</v>
          </cell>
          <cell r="AB585">
            <v>0.77</v>
          </cell>
        </row>
        <row r="586">
          <cell r="B586" t="str">
            <v>Janani Murugan</v>
          </cell>
          <cell r="I586" t="str">
            <v>Correct</v>
          </cell>
          <cell r="J586">
            <v>0.95</v>
          </cell>
          <cell r="K586" t="str">
            <v>Low</v>
          </cell>
          <cell r="AB586">
            <v>1</v>
          </cell>
        </row>
        <row r="587">
          <cell r="B587" t="str">
            <v>Janani Murugan</v>
          </cell>
          <cell r="I587" t="str">
            <v>Correct</v>
          </cell>
          <cell r="J587">
            <v>1.24</v>
          </cell>
          <cell r="K587" t="str">
            <v>Low</v>
          </cell>
          <cell r="AB587">
            <v>2</v>
          </cell>
        </row>
        <row r="588">
          <cell r="B588" t="str">
            <v>Janani Murugan</v>
          </cell>
          <cell r="I588" t="str">
            <v>Correct</v>
          </cell>
          <cell r="J588">
            <v>1.59</v>
          </cell>
          <cell r="K588" t="str">
            <v>Low</v>
          </cell>
          <cell r="AB588">
            <v>0.94</v>
          </cell>
        </row>
        <row r="589">
          <cell r="B589" t="str">
            <v>Janani Murugan</v>
          </cell>
          <cell r="I589" t="str">
            <v>Correct</v>
          </cell>
          <cell r="J589">
            <v>0.9</v>
          </cell>
          <cell r="K589" t="str">
            <v>Low</v>
          </cell>
          <cell r="AB589">
            <v>2</v>
          </cell>
        </row>
        <row r="590">
          <cell r="B590" t="str">
            <v>Janani Murugan</v>
          </cell>
          <cell r="I590" t="str">
            <v>Correct</v>
          </cell>
          <cell r="J590">
            <v>0.91</v>
          </cell>
          <cell r="K590" t="str">
            <v>Low</v>
          </cell>
          <cell r="AB590">
            <v>2</v>
          </cell>
        </row>
        <row r="591">
          <cell r="B591" t="str">
            <v>Janani Murugan</v>
          </cell>
          <cell r="I591" t="str">
            <v>Correct</v>
          </cell>
          <cell r="J591">
            <v>1.3</v>
          </cell>
          <cell r="K591" t="str">
            <v>Medium</v>
          </cell>
          <cell r="AB591">
            <v>2</v>
          </cell>
        </row>
        <row r="592">
          <cell r="B592" t="str">
            <v>Janani Murugan</v>
          </cell>
          <cell r="I592" t="str">
            <v>Correct</v>
          </cell>
          <cell r="J592">
            <v>1.34</v>
          </cell>
          <cell r="K592" t="str">
            <v>Medium</v>
          </cell>
          <cell r="AB592">
            <v>2</v>
          </cell>
        </row>
        <row r="593">
          <cell r="B593" t="str">
            <v>Janani Murugan</v>
          </cell>
          <cell r="I593" t="str">
            <v>Correct</v>
          </cell>
          <cell r="J593">
            <v>1.63</v>
          </cell>
          <cell r="K593" t="str">
            <v>Medium</v>
          </cell>
          <cell r="AB593">
            <v>2</v>
          </cell>
        </row>
        <row r="594">
          <cell r="B594" t="str">
            <v>Janani Murugan</v>
          </cell>
          <cell r="I594" t="str">
            <v>Wrong</v>
          </cell>
          <cell r="J594">
            <v>2.15</v>
          </cell>
          <cell r="K594" t="str">
            <v>Medium</v>
          </cell>
          <cell r="AB594">
            <v>0</v>
          </cell>
        </row>
        <row r="595">
          <cell r="B595" t="str">
            <v>Janani Murugan</v>
          </cell>
          <cell r="I595" t="str">
            <v>Wrong</v>
          </cell>
          <cell r="J595">
            <v>1.22</v>
          </cell>
          <cell r="K595" t="str">
            <v>Medium</v>
          </cell>
          <cell r="AB595">
            <v>0</v>
          </cell>
        </row>
        <row r="596">
          <cell r="B596" t="str">
            <v>Janani Murugan</v>
          </cell>
          <cell r="I596" t="str">
            <v>Wrong</v>
          </cell>
          <cell r="J596">
            <v>1.31</v>
          </cell>
          <cell r="K596" t="str">
            <v>Medium</v>
          </cell>
          <cell r="AB596">
            <v>0</v>
          </cell>
        </row>
        <row r="597">
          <cell r="B597" t="str">
            <v>Janani Murugan</v>
          </cell>
          <cell r="I597" t="str">
            <v>Wrong</v>
          </cell>
          <cell r="J597">
            <v>1.54</v>
          </cell>
          <cell r="K597" t="str">
            <v>High</v>
          </cell>
          <cell r="AB597">
            <v>0</v>
          </cell>
        </row>
        <row r="598">
          <cell r="B598" t="str">
            <v>Janani Murugan</v>
          </cell>
          <cell r="I598" t="str">
            <v>Correct</v>
          </cell>
          <cell r="J598">
            <v>1.26</v>
          </cell>
          <cell r="K598" t="str">
            <v>High</v>
          </cell>
          <cell r="AB598">
            <v>3</v>
          </cell>
        </row>
        <row r="599">
          <cell r="B599" t="str">
            <v>Janani Murugan</v>
          </cell>
          <cell r="I599" t="str">
            <v>Correct</v>
          </cell>
          <cell r="J599">
            <v>2.4500000000000002</v>
          </cell>
          <cell r="K599" t="str">
            <v>High</v>
          </cell>
          <cell r="AB599">
            <v>2.4500000000000002</v>
          </cell>
        </row>
        <row r="600">
          <cell r="B600" t="str">
            <v>Janani Murugan</v>
          </cell>
          <cell r="I600" t="str">
            <v>Wrong</v>
          </cell>
          <cell r="J600">
            <v>1.79</v>
          </cell>
          <cell r="K600" t="str">
            <v>High</v>
          </cell>
          <cell r="AB600">
            <v>0</v>
          </cell>
        </row>
        <row r="601">
          <cell r="B601" t="str">
            <v>Janani Murugan</v>
          </cell>
          <cell r="I601" t="str">
            <v>Wrong</v>
          </cell>
          <cell r="J601">
            <v>1.92</v>
          </cell>
          <cell r="K601" t="str">
            <v>High</v>
          </cell>
          <cell r="AB601">
            <v>0</v>
          </cell>
        </row>
        <row r="602">
          <cell r="B602" t="str">
            <v>Adarsh Nair</v>
          </cell>
          <cell r="I602" t="str">
            <v>Correct</v>
          </cell>
          <cell r="J602">
            <v>1.05</v>
          </cell>
          <cell r="K602" t="str">
            <v>Low</v>
          </cell>
          <cell r="AB602">
            <v>2</v>
          </cell>
        </row>
        <row r="603">
          <cell r="B603" t="str">
            <v>Adarsh Nair</v>
          </cell>
          <cell r="I603" t="str">
            <v>Wrong</v>
          </cell>
          <cell r="J603">
            <v>1.85</v>
          </cell>
          <cell r="K603" t="str">
            <v>Low</v>
          </cell>
          <cell r="AB603">
            <v>0</v>
          </cell>
        </row>
        <row r="604">
          <cell r="B604" t="str">
            <v>Adarsh Nair</v>
          </cell>
          <cell r="I604" t="str">
            <v>Correct</v>
          </cell>
          <cell r="J604">
            <v>1.55</v>
          </cell>
          <cell r="K604" t="str">
            <v>Low</v>
          </cell>
          <cell r="AB604">
            <v>1.94</v>
          </cell>
        </row>
        <row r="605">
          <cell r="B605" t="str">
            <v>Adarsh Nair</v>
          </cell>
          <cell r="I605" t="str">
            <v>Correct</v>
          </cell>
          <cell r="J605">
            <v>1.02</v>
          </cell>
          <cell r="K605" t="str">
            <v>Low</v>
          </cell>
          <cell r="AB605">
            <v>1</v>
          </cell>
        </row>
        <row r="606">
          <cell r="B606" t="str">
            <v>Adarsh Nair</v>
          </cell>
          <cell r="I606" t="str">
            <v>Correct</v>
          </cell>
          <cell r="J606">
            <v>1.22</v>
          </cell>
          <cell r="K606" t="str">
            <v>Low</v>
          </cell>
          <cell r="AB606">
            <v>1</v>
          </cell>
        </row>
        <row r="607">
          <cell r="B607" t="str">
            <v>Adarsh Nair</v>
          </cell>
          <cell r="I607" t="str">
            <v>Correct</v>
          </cell>
          <cell r="J607">
            <v>1.44</v>
          </cell>
          <cell r="K607" t="str">
            <v>Low</v>
          </cell>
          <cell r="AB607">
            <v>2</v>
          </cell>
        </row>
        <row r="608">
          <cell r="B608" t="str">
            <v>Adarsh Nair</v>
          </cell>
          <cell r="I608" t="str">
            <v>Correct</v>
          </cell>
          <cell r="J608">
            <v>0.93</v>
          </cell>
          <cell r="K608" t="str">
            <v>Low</v>
          </cell>
          <cell r="AB608">
            <v>1</v>
          </cell>
        </row>
        <row r="609">
          <cell r="B609" t="str">
            <v>Adarsh Nair</v>
          </cell>
          <cell r="I609" t="str">
            <v>Correct</v>
          </cell>
          <cell r="J609">
            <v>1.34</v>
          </cell>
          <cell r="K609" t="str">
            <v>Low</v>
          </cell>
          <cell r="AB609">
            <v>2</v>
          </cell>
        </row>
        <row r="610">
          <cell r="B610" t="str">
            <v>Adarsh Nair</v>
          </cell>
          <cell r="I610" t="str">
            <v>Correct</v>
          </cell>
          <cell r="J610">
            <v>1.81</v>
          </cell>
          <cell r="K610" t="str">
            <v>Low</v>
          </cell>
          <cell r="AB610">
            <v>1.66</v>
          </cell>
        </row>
        <row r="611">
          <cell r="B611" t="str">
            <v>Adarsh Nair</v>
          </cell>
          <cell r="I611" t="str">
            <v>Wrong</v>
          </cell>
          <cell r="J611">
            <v>1.41</v>
          </cell>
          <cell r="K611" t="str">
            <v>Medium</v>
          </cell>
          <cell r="AB611">
            <v>0</v>
          </cell>
        </row>
        <row r="612">
          <cell r="B612" t="str">
            <v>Adarsh Nair</v>
          </cell>
          <cell r="I612" t="str">
            <v>Correct</v>
          </cell>
          <cell r="J612">
            <v>2.1800000000000002</v>
          </cell>
          <cell r="K612" t="str">
            <v>Medium</v>
          </cell>
          <cell r="AB612">
            <v>1.65</v>
          </cell>
        </row>
        <row r="613">
          <cell r="B613" t="str">
            <v>Adarsh Nair</v>
          </cell>
          <cell r="I613" t="str">
            <v>Wrong</v>
          </cell>
          <cell r="J613">
            <v>1.61</v>
          </cell>
          <cell r="K613" t="str">
            <v>Medium</v>
          </cell>
          <cell r="AB613">
            <v>0</v>
          </cell>
        </row>
        <row r="614">
          <cell r="B614" t="str">
            <v>Adarsh Nair</v>
          </cell>
          <cell r="I614" t="str">
            <v>Correct</v>
          </cell>
          <cell r="J614">
            <v>2.2599999999999998</v>
          </cell>
          <cell r="K614" t="str">
            <v>Medium</v>
          </cell>
          <cell r="AB614">
            <v>1.59</v>
          </cell>
        </row>
        <row r="615">
          <cell r="B615" t="str">
            <v>Adarsh Nair</v>
          </cell>
          <cell r="I615" t="str">
            <v>Correct</v>
          </cell>
          <cell r="J615">
            <v>1.38</v>
          </cell>
          <cell r="K615" t="str">
            <v>Medium</v>
          </cell>
          <cell r="AB615">
            <v>2</v>
          </cell>
        </row>
        <row r="616">
          <cell r="B616" t="str">
            <v>Adarsh Nair</v>
          </cell>
          <cell r="I616" t="str">
            <v>Wrong</v>
          </cell>
          <cell r="J616">
            <v>1.22</v>
          </cell>
          <cell r="K616" t="str">
            <v>Medium</v>
          </cell>
          <cell r="AB616">
            <v>0</v>
          </cell>
        </row>
        <row r="617">
          <cell r="B617" t="str">
            <v>Adarsh Nair</v>
          </cell>
          <cell r="I617" t="str">
            <v>Wrong</v>
          </cell>
          <cell r="J617">
            <v>1.78</v>
          </cell>
          <cell r="K617" t="str">
            <v>High</v>
          </cell>
          <cell r="AB617">
            <v>0</v>
          </cell>
        </row>
        <row r="618">
          <cell r="B618" t="str">
            <v>Adarsh Nair</v>
          </cell>
          <cell r="I618" t="str">
            <v>Wrong</v>
          </cell>
          <cell r="J618">
            <v>1.41</v>
          </cell>
          <cell r="K618" t="str">
            <v>High</v>
          </cell>
          <cell r="AB618">
            <v>0</v>
          </cell>
        </row>
        <row r="619">
          <cell r="B619" t="str">
            <v>Adarsh Nair</v>
          </cell>
          <cell r="I619" t="str">
            <v>Correct</v>
          </cell>
          <cell r="J619">
            <v>2.46</v>
          </cell>
          <cell r="K619" t="str">
            <v>High</v>
          </cell>
          <cell r="AB619">
            <v>2.44</v>
          </cell>
        </row>
        <row r="620">
          <cell r="B620" t="str">
            <v>Adarsh Nair</v>
          </cell>
          <cell r="I620" t="str">
            <v>Correct</v>
          </cell>
          <cell r="J620">
            <v>1.64</v>
          </cell>
          <cell r="K620" t="str">
            <v>High</v>
          </cell>
          <cell r="AB620">
            <v>3</v>
          </cell>
        </row>
        <row r="621">
          <cell r="B621" t="str">
            <v>Adarsh Nair</v>
          </cell>
          <cell r="I621" t="str">
            <v>Correct</v>
          </cell>
          <cell r="J621">
            <v>1.85</v>
          </cell>
          <cell r="K621" t="str">
            <v>High</v>
          </cell>
          <cell r="AB621">
            <v>3</v>
          </cell>
        </row>
        <row r="622">
          <cell r="B622" t="str">
            <v>Bhavana Ramesh</v>
          </cell>
          <cell r="I622" t="str">
            <v>Correct</v>
          </cell>
          <cell r="J622">
            <v>1.7</v>
          </cell>
          <cell r="K622" t="str">
            <v>Low</v>
          </cell>
          <cell r="AB622">
            <v>1.76</v>
          </cell>
        </row>
        <row r="623">
          <cell r="B623" t="str">
            <v>Bhavana Ramesh</v>
          </cell>
          <cell r="I623" t="str">
            <v>Correct</v>
          </cell>
          <cell r="J623">
            <v>1.69</v>
          </cell>
          <cell r="K623" t="str">
            <v>Low</v>
          </cell>
          <cell r="AB623">
            <v>0.89</v>
          </cell>
        </row>
        <row r="624">
          <cell r="B624" t="str">
            <v>Bhavana Ramesh</v>
          </cell>
          <cell r="I624" t="str">
            <v>Correct</v>
          </cell>
          <cell r="J624">
            <v>1.05</v>
          </cell>
          <cell r="K624" t="str">
            <v>Low</v>
          </cell>
          <cell r="AB624">
            <v>2</v>
          </cell>
        </row>
        <row r="625">
          <cell r="B625" t="str">
            <v>Bhavana Ramesh</v>
          </cell>
          <cell r="I625" t="str">
            <v>Correct</v>
          </cell>
          <cell r="J625">
            <v>1.69</v>
          </cell>
          <cell r="K625" t="str">
            <v>Low</v>
          </cell>
          <cell r="AB625">
            <v>0.89</v>
          </cell>
        </row>
        <row r="626">
          <cell r="B626" t="str">
            <v>Bhavana Ramesh</v>
          </cell>
          <cell r="I626" t="str">
            <v>Wrong</v>
          </cell>
          <cell r="J626">
            <v>1.59</v>
          </cell>
          <cell r="K626" t="str">
            <v>Low</v>
          </cell>
          <cell r="AB626">
            <v>0</v>
          </cell>
        </row>
        <row r="627">
          <cell r="B627" t="str">
            <v>Bhavana Ramesh</v>
          </cell>
          <cell r="I627" t="str">
            <v>Wrong</v>
          </cell>
          <cell r="J627">
            <v>1.72</v>
          </cell>
          <cell r="K627" t="str">
            <v>Low</v>
          </cell>
          <cell r="AB627">
            <v>0</v>
          </cell>
        </row>
        <row r="628">
          <cell r="B628" t="str">
            <v>Bhavana Ramesh</v>
          </cell>
          <cell r="I628" t="str">
            <v>Wrong</v>
          </cell>
          <cell r="J628">
            <v>1.34</v>
          </cell>
          <cell r="K628" t="str">
            <v>Low</v>
          </cell>
          <cell r="AB628">
            <v>0</v>
          </cell>
        </row>
        <row r="629">
          <cell r="B629" t="str">
            <v>Bhavana Ramesh</v>
          </cell>
          <cell r="I629" t="str">
            <v>Correct</v>
          </cell>
          <cell r="J629">
            <v>1.47</v>
          </cell>
          <cell r="K629" t="str">
            <v>Low</v>
          </cell>
          <cell r="AB629">
            <v>2</v>
          </cell>
        </row>
        <row r="630">
          <cell r="B630" t="str">
            <v>Bhavana Ramesh</v>
          </cell>
          <cell r="I630" t="str">
            <v>Correct</v>
          </cell>
          <cell r="J630">
            <v>1.94</v>
          </cell>
          <cell r="K630" t="str">
            <v>Low</v>
          </cell>
          <cell r="AB630">
            <v>1.55</v>
          </cell>
        </row>
        <row r="631">
          <cell r="B631" t="str">
            <v>Bhavana Ramesh</v>
          </cell>
          <cell r="I631" t="str">
            <v>Wrong</v>
          </cell>
          <cell r="J631">
            <v>2.27</v>
          </cell>
          <cell r="K631" t="str">
            <v>Medium</v>
          </cell>
          <cell r="AB631">
            <v>0</v>
          </cell>
        </row>
        <row r="632">
          <cell r="B632" t="str">
            <v>Bhavana Ramesh</v>
          </cell>
          <cell r="I632" t="str">
            <v>Wrong</v>
          </cell>
          <cell r="J632">
            <v>2.06</v>
          </cell>
          <cell r="K632" t="str">
            <v>Medium</v>
          </cell>
          <cell r="AB632">
            <v>0</v>
          </cell>
        </row>
        <row r="633">
          <cell r="B633" t="str">
            <v>Bhavana Ramesh</v>
          </cell>
          <cell r="I633" t="str">
            <v>Correct</v>
          </cell>
          <cell r="J633">
            <v>1.86</v>
          </cell>
          <cell r="K633" t="str">
            <v>Medium</v>
          </cell>
          <cell r="AB633">
            <v>1.94</v>
          </cell>
        </row>
        <row r="634">
          <cell r="B634" t="str">
            <v>Bhavana Ramesh</v>
          </cell>
          <cell r="I634" t="str">
            <v>Wrong</v>
          </cell>
          <cell r="J634">
            <v>1.1499999999999999</v>
          </cell>
          <cell r="K634" t="str">
            <v>Medium</v>
          </cell>
          <cell r="AB634">
            <v>0</v>
          </cell>
        </row>
        <row r="635">
          <cell r="B635" t="str">
            <v>Bhavana Ramesh</v>
          </cell>
          <cell r="I635" t="str">
            <v>Wrong</v>
          </cell>
          <cell r="J635">
            <v>2.15</v>
          </cell>
          <cell r="K635" t="str">
            <v>Medium</v>
          </cell>
          <cell r="AB635">
            <v>0</v>
          </cell>
        </row>
        <row r="636">
          <cell r="B636" t="str">
            <v>Bhavana Ramesh</v>
          </cell>
          <cell r="I636" t="str">
            <v>Correct</v>
          </cell>
          <cell r="J636">
            <v>1.88</v>
          </cell>
          <cell r="K636" t="str">
            <v>Medium</v>
          </cell>
          <cell r="AB636">
            <v>1.91</v>
          </cell>
        </row>
        <row r="637">
          <cell r="B637" t="str">
            <v>Bhavana Ramesh</v>
          </cell>
          <cell r="I637" t="str">
            <v>Correct</v>
          </cell>
          <cell r="J637">
            <v>1.96</v>
          </cell>
          <cell r="K637" t="str">
            <v>High</v>
          </cell>
          <cell r="AB637">
            <v>3</v>
          </cell>
        </row>
        <row r="638">
          <cell r="B638" t="str">
            <v>Bhavana Ramesh</v>
          </cell>
          <cell r="I638" t="str">
            <v>Wrong</v>
          </cell>
          <cell r="J638">
            <v>2.02</v>
          </cell>
          <cell r="K638" t="str">
            <v>High</v>
          </cell>
          <cell r="AB638">
            <v>0</v>
          </cell>
        </row>
        <row r="639">
          <cell r="B639" t="str">
            <v>Bhavana Ramesh</v>
          </cell>
          <cell r="I639" t="str">
            <v>Wrong</v>
          </cell>
          <cell r="J639">
            <v>1.83</v>
          </cell>
          <cell r="K639" t="str">
            <v>High</v>
          </cell>
          <cell r="AB639">
            <v>0</v>
          </cell>
        </row>
        <row r="640">
          <cell r="B640" t="str">
            <v>Bhavana Ramesh</v>
          </cell>
          <cell r="I640" t="str">
            <v>Wrong</v>
          </cell>
          <cell r="J640">
            <v>1.37</v>
          </cell>
          <cell r="K640" t="str">
            <v>High</v>
          </cell>
          <cell r="AB640">
            <v>0</v>
          </cell>
        </row>
        <row r="641">
          <cell r="B641" t="str">
            <v>Bhavana Ramesh</v>
          </cell>
          <cell r="I641" t="str">
            <v>Correct</v>
          </cell>
          <cell r="J641">
            <v>1.37</v>
          </cell>
          <cell r="K641" t="str">
            <v>High</v>
          </cell>
          <cell r="AB641">
            <v>3</v>
          </cell>
        </row>
        <row r="642">
          <cell r="B642" t="str">
            <v>Charan Teja</v>
          </cell>
          <cell r="I642" t="str">
            <v>Correct</v>
          </cell>
          <cell r="J642">
            <v>1</v>
          </cell>
          <cell r="K642" t="str">
            <v>Low</v>
          </cell>
          <cell r="AB642">
            <v>2</v>
          </cell>
        </row>
        <row r="643">
          <cell r="B643" t="str">
            <v>Charan Teja</v>
          </cell>
          <cell r="I643" t="str">
            <v>Correct</v>
          </cell>
          <cell r="J643">
            <v>1.48</v>
          </cell>
          <cell r="K643" t="str">
            <v>Low</v>
          </cell>
          <cell r="AB643">
            <v>1</v>
          </cell>
        </row>
        <row r="644">
          <cell r="B644" t="str">
            <v>Charan Teja</v>
          </cell>
          <cell r="I644" t="str">
            <v>Correct</v>
          </cell>
          <cell r="J644">
            <v>1.28</v>
          </cell>
          <cell r="K644" t="str">
            <v>Low</v>
          </cell>
          <cell r="AB644">
            <v>2</v>
          </cell>
        </row>
        <row r="645">
          <cell r="B645" t="str">
            <v>Charan Teja</v>
          </cell>
          <cell r="I645" t="str">
            <v>Correct</v>
          </cell>
          <cell r="J645">
            <v>0.97</v>
          </cell>
          <cell r="K645" t="str">
            <v>Low</v>
          </cell>
          <cell r="AB645">
            <v>1</v>
          </cell>
        </row>
        <row r="646">
          <cell r="B646" t="str">
            <v>Charan Teja</v>
          </cell>
          <cell r="I646" t="str">
            <v>Correct</v>
          </cell>
          <cell r="J646">
            <v>0.95</v>
          </cell>
          <cell r="K646" t="str">
            <v>Low</v>
          </cell>
          <cell r="AB646">
            <v>1</v>
          </cell>
        </row>
        <row r="647">
          <cell r="B647" t="str">
            <v>Charan Teja</v>
          </cell>
          <cell r="I647" t="str">
            <v>Correct</v>
          </cell>
          <cell r="J647">
            <v>1.08</v>
          </cell>
          <cell r="K647" t="str">
            <v>Low</v>
          </cell>
          <cell r="AB647">
            <v>2</v>
          </cell>
        </row>
        <row r="648">
          <cell r="B648" t="str">
            <v>Charan Teja</v>
          </cell>
          <cell r="I648" t="str">
            <v>Correct</v>
          </cell>
          <cell r="J648">
            <v>1.1299999999999999</v>
          </cell>
          <cell r="K648" t="str">
            <v>Low</v>
          </cell>
          <cell r="AB648">
            <v>1</v>
          </cell>
        </row>
        <row r="649">
          <cell r="B649" t="str">
            <v>Charan Teja</v>
          </cell>
          <cell r="I649" t="str">
            <v>Wrong</v>
          </cell>
          <cell r="J649">
            <v>2</v>
          </cell>
          <cell r="K649" t="str">
            <v>Low</v>
          </cell>
          <cell r="AB649">
            <v>0</v>
          </cell>
        </row>
        <row r="650">
          <cell r="B650" t="str">
            <v>Charan Teja</v>
          </cell>
          <cell r="I650" t="str">
            <v>Wrong</v>
          </cell>
          <cell r="J650">
            <v>1.54</v>
          </cell>
          <cell r="K650" t="str">
            <v>Low</v>
          </cell>
          <cell r="AB650">
            <v>0</v>
          </cell>
        </row>
        <row r="651">
          <cell r="B651" t="str">
            <v>Charan Teja</v>
          </cell>
          <cell r="I651" t="str">
            <v>Correct</v>
          </cell>
          <cell r="J651">
            <v>1.82</v>
          </cell>
          <cell r="K651" t="str">
            <v>Medium</v>
          </cell>
          <cell r="AB651">
            <v>1.98</v>
          </cell>
        </row>
        <row r="652">
          <cell r="B652" t="str">
            <v>Charan Teja</v>
          </cell>
          <cell r="I652" t="str">
            <v>Wrong</v>
          </cell>
          <cell r="J652">
            <v>1.35</v>
          </cell>
          <cell r="K652" t="str">
            <v>Medium</v>
          </cell>
          <cell r="AB652">
            <v>0</v>
          </cell>
        </row>
        <row r="653">
          <cell r="B653" t="str">
            <v>Charan Teja</v>
          </cell>
          <cell r="I653" t="str">
            <v>Wrong</v>
          </cell>
          <cell r="J653">
            <v>1.25</v>
          </cell>
          <cell r="K653" t="str">
            <v>Medium</v>
          </cell>
          <cell r="AB653">
            <v>0</v>
          </cell>
        </row>
        <row r="654">
          <cell r="B654" t="str">
            <v>Charan Teja</v>
          </cell>
          <cell r="I654" t="str">
            <v>Wrong</v>
          </cell>
          <cell r="J654">
            <v>2.0299999999999998</v>
          </cell>
          <cell r="K654" t="str">
            <v>Medium</v>
          </cell>
          <cell r="AB654">
            <v>0</v>
          </cell>
        </row>
        <row r="655">
          <cell r="B655" t="str">
            <v>Charan Teja</v>
          </cell>
          <cell r="I655" t="str">
            <v>Correct</v>
          </cell>
          <cell r="J655">
            <v>2.15</v>
          </cell>
          <cell r="K655" t="str">
            <v>Medium</v>
          </cell>
          <cell r="AB655">
            <v>1.67</v>
          </cell>
        </row>
        <row r="656">
          <cell r="B656" t="str">
            <v>Charan Teja</v>
          </cell>
          <cell r="I656" t="str">
            <v>Correct</v>
          </cell>
          <cell r="J656">
            <v>2.13</v>
          </cell>
          <cell r="K656" t="str">
            <v>Medium</v>
          </cell>
          <cell r="AB656">
            <v>1.69</v>
          </cell>
        </row>
        <row r="657">
          <cell r="B657" t="str">
            <v>Charan Teja</v>
          </cell>
          <cell r="I657" t="str">
            <v>Wrong</v>
          </cell>
          <cell r="J657">
            <v>1.29</v>
          </cell>
          <cell r="K657" t="str">
            <v>High</v>
          </cell>
          <cell r="AB657">
            <v>0</v>
          </cell>
        </row>
        <row r="658">
          <cell r="B658" t="str">
            <v>Charan Teja</v>
          </cell>
          <cell r="I658" t="str">
            <v>Correct</v>
          </cell>
          <cell r="J658">
            <v>2.42</v>
          </cell>
          <cell r="K658" t="str">
            <v>High</v>
          </cell>
          <cell r="AB658">
            <v>2.48</v>
          </cell>
        </row>
        <row r="659">
          <cell r="B659" t="str">
            <v>Charan Teja</v>
          </cell>
          <cell r="I659" t="str">
            <v>Wrong</v>
          </cell>
          <cell r="J659">
            <v>1.71</v>
          </cell>
          <cell r="K659" t="str">
            <v>High</v>
          </cell>
          <cell r="AB659">
            <v>0</v>
          </cell>
        </row>
        <row r="660">
          <cell r="B660" t="str">
            <v>Charan Teja</v>
          </cell>
          <cell r="I660" t="str">
            <v>Correct</v>
          </cell>
          <cell r="J660">
            <v>1.27</v>
          </cell>
          <cell r="K660" t="str">
            <v>High</v>
          </cell>
          <cell r="AB660">
            <v>3</v>
          </cell>
        </row>
        <row r="661">
          <cell r="B661" t="str">
            <v>Charan Teja</v>
          </cell>
          <cell r="I661" t="str">
            <v>Correct</v>
          </cell>
          <cell r="J661">
            <v>2.1800000000000002</v>
          </cell>
          <cell r="K661" t="str">
            <v>High</v>
          </cell>
          <cell r="AB661">
            <v>2.75</v>
          </cell>
        </row>
        <row r="662">
          <cell r="B662" t="str">
            <v>Deepika S</v>
          </cell>
          <cell r="I662" t="str">
            <v>Correct</v>
          </cell>
          <cell r="J662">
            <v>0.92</v>
          </cell>
          <cell r="K662" t="str">
            <v>Low</v>
          </cell>
          <cell r="AB662">
            <v>2</v>
          </cell>
        </row>
        <row r="663">
          <cell r="B663" t="str">
            <v>Deepika S</v>
          </cell>
          <cell r="I663" t="str">
            <v>Wrong</v>
          </cell>
          <cell r="J663">
            <v>1.26</v>
          </cell>
          <cell r="K663" t="str">
            <v>Low</v>
          </cell>
          <cell r="AB663">
            <v>0</v>
          </cell>
        </row>
        <row r="664">
          <cell r="B664" t="str">
            <v>Deepika S</v>
          </cell>
          <cell r="I664" t="str">
            <v>Correct</v>
          </cell>
          <cell r="J664">
            <v>1.1399999999999999</v>
          </cell>
          <cell r="K664" t="str">
            <v>Low</v>
          </cell>
          <cell r="AB664">
            <v>2</v>
          </cell>
        </row>
        <row r="665">
          <cell r="B665" t="str">
            <v>Deepika S</v>
          </cell>
          <cell r="I665" t="str">
            <v>Wrong</v>
          </cell>
          <cell r="J665">
            <v>0.98</v>
          </cell>
          <cell r="K665" t="str">
            <v>Low</v>
          </cell>
          <cell r="AB665">
            <v>0</v>
          </cell>
        </row>
        <row r="666">
          <cell r="B666" t="str">
            <v>Deepika S</v>
          </cell>
          <cell r="I666" t="str">
            <v>Correct</v>
          </cell>
          <cell r="J666">
            <v>1.1100000000000001</v>
          </cell>
          <cell r="K666" t="str">
            <v>Low</v>
          </cell>
          <cell r="AB666">
            <v>1</v>
          </cell>
        </row>
        <row r="667">
          <cell r="B667" t="str">
            <v>Deepika S</v>
          </cell>
          <cell r="I667" t="str">
            <v>Wrong</v>
          </cell>
          <cell r="J667">
            <v>1.93</v>
          </cell>
          <cell r="K667" t="str">
            <v>Low</v>
          </cell>
          <cell r="AB667">
            <v>0</v>
          </cell>
        </row>
        <row r="668">
          <cell r="B668" t="str">
            <v>Deepika S</v>
          </cell>
          <cell r="I668" t="str">
            <v>Correct</v>
          </cell>
          <cell r="J668">
            <v>1.06</v>
          </cell>
          <cell r="K668" t="str">
            <v>Low</v>
          </cell>
          <cell r="AB668">
            <v>1</v>
          </cell>
        </row>
        <row r="669">
          <cell r="B669" t="str">
            <v>Deepika S</v>
          </cell>
          <cell r="I669" t="str">
            <v>Correct</v>
          </cell>
          <cell r="J669">
            <v>1.29</v>
          </cell>
          <cell r="K669" t="str">
            <v>Low</v>
          </cell>
          <cell r="AB669">
            <v>2</v>
          </cell>
        </row>
        <row r="670">
          <cell r="B670" t="str">
            <v>Deepika S</v>
          </cell>
          <cell r="I670" t="str">
            <v>Correct</v>
          </cell>
          <cell r="J670">
            <v>1.07</v>
          </cell>
          <cell r="K670" t="str">
            <v>Low</v>
          </cell>
          <cell r="AB670">
            <v>2</v>
          </cell>
        </row>
        <row r="671">
          <cell r="B671" t="str">
            <v>Deepika S</v>
          </cell>
          <cell r="I671" t="str">
            <v>Correct</v>
          </cell>
          <cell r="J671">
            <v>1.53</v>
          </cell>
          <cell r="K671" t="str">
            <v>Medium</v>
          </cell>
          <cell r="AB671">
            <v>2</v>
          </cell>
        </row>
        <row r="672">
          <cell r="B672" t="str">
            <v>Deepika S</v>
          </cell>
          <cell r="I672" t="str">
            <v>Wrong</v>
          </cell>
          <cell r="J672">
            <v>1.1000000000000001</v>
          </cell>
          <cell r="K672" t="str">
            <v>Medium</v>
          </cell>
          <cell r="AB672">
            <v>0</v>
          </cell>
        </row>
        <row r="673">
          <cell r="B673" t="str">
            <v>Deepika S</v>
          </cell>
          <cell r="I673" t="str">
            <v>Correct</v>
          </cell>
          <cell r="J673">
            <v>2.27</v>
          </cell>
          <cell r="K673" t="str">
            <v>Medium</v>
          </cell>
          <cell r="AB673">
            <v>1.59</v>
          </cell>
        </row>
        <row r="674">
          <cell r="B674" t="str">
            <v>Deepika S</v>
          </cell>
          <cell r="I674" t="str">
            <v>Correct</v>
          </cell>
          <cell r="J674">
            <v>1.24</v>
          </cell>
          <cell r="K674" t="str">
            <v>Medium</v>
          </cell>
          <cell r="AB674">
            <v>2</v>
          </cell>
        </row>
        <row r="675">
          <cell r="B675" t="str">
            <v>Deepika S</v>
          </cell>
          <cell r="I675" t="str">
            <v>Correct</v>
          </cell>
          <cell r="J675">
            <v>1.43</v>
          </cell>
          <cell r="K675" t="str">
            <v>Medium</v>
          </cell>
          <cell r="AB675">
            <v>2</v>
          </cell>
        </row>
        <row r="676">
          <cell r="B676" t="str">
            <v>Deepika S</v>
          </cell>
          <cell r="I676" t="str">
            <v>Correct</v>
          </cell>
          <cell r="J676">
            <v>2.1800000000000002</v>
          </cell>
          <cell r="K676" t="str">
            <v>Medium</v>
          </cell>
          <cell r="AB676">
            <v>1.65</v>
          </cell>
        </row>
        <row r="677">
          <cell r="B677" t="str">
            <v>Deepika S</v>
          </cell>
          <cell r="I677" t="str">
            <v>Wrong</v>
          </cell>
          <cell r="J677">
            <v>2.11</v>
          </cell>
          <cell r="K677" t="str">
            <v>High</v>
          </cell>
          <cell r="AB677">
            <v>0</v>
          </cell>
        </row>
        <row r="678">
          <cell r="B678" t="str">
            <v>Deepika S</v>
          </cell>
          <cell r="I678" t="str">
            <v>Correct</v>
          </cell>
          <cell r="J678">
            <v>2.35</v>
          </cell>
          <cell r="K678" t="str">
            <v>High</v>
          </cell>
          <cell r="AB678">
            <v>2.5499999999999998</v>
          </cell>
        </row>
        <row r="679">
          <cell r="B679" t="str">
            <v>Deepika S</v>
          </cell>
          <cell r="I679" t="str">
            <v>Wrong</v>
          </cell>
          <cell r="J679">
            <v>2.58</v>
          </cell>
          <cell r="K679" t="str">
            <v>High</v>
          </cell>
          <cell r="AB679">
            <v>0</v>
          </cell>
        </row>
        <row r="680">
          <cell r="B680" t="str">
            <v>Deepika S</v>
          </cell>
          <cell r="I680" t="str">
            <v>Wrong</v>
          </cell>
          <cell r="J680">
            <v>1.36</v>
          </cell>
          <cell r="K680" t="str">
            <v>High</v>
          </cell>
          <cell r="AB680">
            <v>0</v>
          </cell>
        </row>
        <row r="681">
          <cell r="B681" t="str">
            <v>Deepika S</v>
          </cell>
          <cell r="I681" t="str">
            <v>Wrong</v>
          </cell>
          <cell r="J681">
            <v>2.41</v>
          </cell>
          <cell r="K681" t="str">
            <v>High</v>
          </cell>
          <cell r="AB681">
            <v>0</v>
          </cell>
        </row>
        <row r="682">
          <cell r="B682" t="str">
            <v>Eshan Gupta</v>
          </cell>
          <cell r="I682" t="str">
            <v>Correct</v>
          </cell>
          <cell r="J682">
            <v>1.24</v>
          </cell>
          <cell r="K682" t="str">
            <v>Low</v>
          </cell>
          <cell r="AB682">
            <v>2</v>
          </cell>
        </row>
        <row r="683">
          <cell r="B683" t="str">
            <v>Eshan Gupta</v>
          </cell>
          <cell r="I683" t="str">
            <v>Correct</v>
          </cell>
          <cell r="J683">
            <v>1.0900000000000001</v>
          </cell>
          <cell r="K683" t="str">
            <v>Low</v>
          </cell>
          <cell r="AB683">
            <v>1</v>
          </cell>
        </row>
        <row r="684">
          <cell r="B684" t="str">
            <v>Eshan Gupta</v>
          </cell>
          <cell r="I684" t="str">
            <v>Correct</v>
          </cell>
          <cell r="J684">
            <v>1.83</v>
          </cell>
          <cell r="K684" t="str">
            <v>Low</v>
          </cell>
          <cell r="AB684">
            <v>1.64</v>
          </cell>
        </row>
        <row r="685">
          <cell r="B685" t="str">
            <v>Eshan Gupta</v>
          </cell>
          <cell r="I685" t="str">
            <v>Correct</v>
          </cell>
          <cell r="J685">
            <v>1.47</v>
          </cell>
          <cell r="K685" t="str">
            <v>Low</v>
          </cell>
          <cell r="AB685">
            <v>1</v>
          </cell>
        </row>
        <row r="686">
          <cell r="B686" t="str">
            <v>Eshan Gupta</v>
          </cell>
          <cell r="I686" t="str">
            <v>Correct</v>
          </cell>
          <cell r="J686">
            <v>1.26</v>
          </cell>
          <cell r="K686" t="str">
            <v>Low</v>
          </cell>
          <cell r="AB686">
            <v>1</v>
          </cell>
        </row>
        <row r="687">
          <cell r="B687" t="str">
            <v>Eshan Gupta</v>
          </cell>
          <cell r="I687" t="str">
            <v>Wrong</v>
          </cell>
          <cell r="J687">
            <v>1.07</v>
          </cell>
          <cell r="K687" t="str">
            <v>Low</v>
          </cell>
          <cell r="AB687">
            <v>0</v>
          </cell>
        </row>
        <row r="688">
          <cell r="B688" t="str">
            <v>Eshan Gupta</v>
          </cell>
          <cell r="I688" t="str">
            <v>Correct</v>
          </cell>
          <cell r="J688">
            <v>1.05</v>
          </cell>
          <cell r="K688" t="str">
            <v>Low</v>
          </cell>
          <cell r="AB688">
            <v>1</v>
          </cell>
        </row>
        <row r="689">
          <cell r="B689" t="str">
            <v>Eshan Gupta</v>
          </cell>
          <cell r="I689" t="str">
            <v>Correct</v>
          </cell>
          <cell r="J689">
            <v>1.39</v>
          </cell>
          <cell r="K689" t="str">
            <v>Low</v>
          </cell>
          <cell r="AB689">
            <v>2</v>
          </cell>
        </row>
        <row r="690">
          <cell r="B690" t="str">
            <v>Eshan Gupta</v>
          </cell>
          <cell r="I690" t="str">
            <v>Correct</v>
          </cell>
          <cell r="J690">
            <v>1.2</v>
          </cell>
          <cell r="K690" t="str">
            <v>Low</v>
          </cell>
          <cell r="AB690">
            <v>2</v>
          </cell>
        </row>
        <row r="691">
          <cell r="B691" t="str">
            <v>Eshan Gupta</v>
          </cell>
          <cell r="I691" t="str">
            <v>Correct</v>
          </cell>
          <cell r="J691">
            <v>2.1800000000000002</v>
          </cell>
          <cell r="K691" t="str">
            <v>Medium</v>
          </cell>
          <cell r="AB691">
            <v>1.65</v>
          </cell>
        </row>
        <row r="692">
          <cell r="B692" t="str">
            <v>Eshan Gupta</v>
          </cell>
          <cell r="I692" t="str">
            <v>Wrong</v>
          </cell>
          <cell r="J692">
            <v>1.95</v>
          </cell>
          <cell r="K692" t="str">
            <v>Medium</v>
          </cell>
          <cell r="AB692">
            <v>0</v>
          </cell>
        </row>
        <row r="693">
          <cell r="B693" t="str">
            <v>Eshan Gupta</v>
          </cell>
          <cell r="I693" t="str">
            <v>Wrong</v>
          </cell>
          <cell r="J693">
            <v>2.0699999999999998</v>
          </cell>
          <cell r="K693" t="str">
            <v>Medium</v>
          </cell>
          <cell r="AB693">
            <v>0</v>
          </cell>
        </row>
        <row r="694">
          <cell r="B694" t="str">
            <v>Eshan Gupta</v>
          </cell>
          <cell r="I694" t="str">
            <v>Correct</v>
          </cell>
          <cell r="J694">
            <v>2.12</v>
          </cell>
          <cell r="K694" t="str">
            <v>Medium</v>
          </cell>
          <cell r="AB694">
            <v>1.7</v>
          </cell>
        </row>
        <row r="695">
          <cell r="B695" t="str">
            <v>Eshan Gupta</v>
          </cell>
          <cell r="I695" t="str">
            <v>Correct</v>
          </cell>
          <cell r="J695">
            <v>2.16</v>
          </cell>
          <cell r="K695" t="str">
            <v>Medium</v>
          </cell>
          <cell r="AB695">
            <v>1.67</v>
          </cell>
        </row>
        <row r="696">
          <cell r="B696" t="str">
            <v>Eshan Gupta</v>
          </cell>
          <cell r="I696" t="str">
            <v>Wrong</v>
          </cell>
          <cell r="J696">
            <v>1.41</v>
          </cell>
          <cell r="K696" t="str">
            <v>Medium</v>
          </cell>
          <cell r="AB696">
            <v>0</v>
          </cell>
        </row>
        <row r="697">
          <cell r="B697" t="str">
            <v>Eshan Gupta</v>
          </cell>
          <cell r="I697" t="str">
            <v>Wrong</v>
          </cell>
          <cell r="J697">
            <v>1.82</v>
          </cell>
          <cell r="K697" t="str">
            <v>High</v>
          </cell>
          <cell r="AB697">
            <v>0</v>
          </cell>
        </row>
        <row r="698">
          <cell r="B698" t="str">
            <v>Eshan Gupta</v>
          </cell>
          <cell r="I698" t="str">
            <v>Correct</v>
          </cell>
          <cell r="J698">
            <v>1.76</v>
          </cell>
          <cell r="K698" t="str">
            <v>High</v>
          </cell>
          <cell r="AB698">
            <v>3</v>
          </cell>
        </row>
        <row r="699">
          <cell r="B699" t="str">
            <v>Eshan Gupta</v>
          </cell>
          <cell r="I699" t="str">
            <v>Correct</v>
          </cell>
          <cell r="J699">
            <v>1.59</v>
          </cell>
          <cell r="K699" t="str">
            <v>High</v>
          </cell>
          <cell r="AB699">
            <v>3</v>
          </cell>
        </row>
        <row r="700">
          <cell r="B700" t="str">
            <v>Eshan Gupta</v>
          </cell>
          <cell r="I700" t="str">
            <v>Correct</v>
          </cell>
          <cell r="J700">
            <v>2.59</v>
          </cell>
          <cell r="K700" t="str">
            <v>High</v>
          </cell>
          <cell r="AB700">
            <v>2.3199999999999998</v>
          </cell>
        </row>
        <row r="701">
          <cell r="B701" t="str">
            <v>Eshan Gupta</v>
          </cell>
          <cell r="I701" t="str">
            <v>Wrong</v>
          </cell>
          <cell r="J701">
            <v>1.85</v>
          </cell>
          <cell r="K701" t="str">
            <v>High</v>
          </cell>
          <cell r="AB701">
            <v>0</v>
          </cell>
        </row>
        <row r="702">
          <cell r="B702" t="str">
            <v>Farhan Ahmed</v>
          </cell>
          <cell r="I702" t="str">
            <v>Wrong</v>
          </cell>
          <cell r="J702">
            <v>1.73</v>
          </cell>
          <cell r="K702" t="str">
            <v>Low</v>
          </cell>
          <cell r="AB702">
            <v>0</v>
          </cell>
        </row>
        <row r="703">
          <cell r="B703" t="str">
            <v>Farhan Ahmed</v>
          </cell>
          <cell r="I703" t="str">
            <v>Correct</v>
          </cell>
          <cell r="J703">
            <v>1.56</v>
          </cell>
          <cell r="K703" t="str">
            <v>Low</v>
          </cell>
          <cell r="AB703">
            <v>0.96</v>
          </cell>
        </row>
        <row r="704">
          <cell r="B704" t="str">
            <v>Farhan Ahmed</v>
          </cell>
          <cell r="I704" t="str">
            <v>Correct</v>
          </cell>
          <cell r="J704">
            <v>1.21</v>
          </cell>
          <cell r="K704" t="str">
            <v>Low</v>
          </cell>
          <cell r="AB704">
            <v>2</v>
          </cell>
        </row>
        <row r="705">
          <cell r="B705" t="str">
            <v>Farhan Ahmed</v>
          </cell>
          <cell r="I705" t="str">
            <v>Correct</v>
          </cell>
          <cell r="J705">
            <v>1.21</v>
          </cell>
          <cell r="K705" t="str">
            <v>Low</v>
          </cell>
          <cell r="AB705">
            <v>1</v>
          </cell>
        </row>
        <row r="706">
          <cell r="B706" t="str">
            <v>Farhan Ahmed</v>
          </cell>
          <cell r="I706" t="str">
            <v>Correct</v>
          </cell>
          <cell r="J706">
            <v>1.81</v>
          </cell>
          <cell r="K706" t="str">
            <v>Low</v>
          </cell>
          <cell r="AB706">
            <v>0.83</v>
          </cell>
        </row>
        <row r="707">
          <cell r="B707" t="str">
            <v>Farhan Ahmed</v>
          </cell>
          <cell r="I707" t="str">
            <v>Wrong</v>
          </cell>
          <cell r="J707">
            <v>1.79</v>
          </cell>
          <cell r="K707" t="str">
            <v>Low</v>
          </cell>
          <cell r="AB707">
            <v>0</v>
          </cell>
        </row>
        <row r="708">
          <cell r="B708" t="str">
            <v>Farhan Ahmed</v>
          </cell>
          <cell r="I708" t="str">
            <v>Correct</v>
          </cell>
          <cell r="J708">
            <v>0.95</v>
          </cell>
          <cell r="K708" t="str">
            <v>Low</v>
          </cell>
          <cell r="AB708">
            <v>1</v>
          </cell>
        </row>
        <row r="709">
          <cell r="B709" t="str">
            <v>Farhan Ahmed</v>
          </cell>
          <cell r="I709" t="str">
            <v>Correct</v>
          </cell>
          <cell r="J709">
            <v>1.17</v>
          </cell>
          <cell r="K709" t="str">
            <v>Low</v>
          </cell>
          <cell r="AB709">
            <v>2</v>
          </cell>
        </row>
        <row r="710">
          <cell r="B710" t="str">
            <v>Farhan Ahmed</v>
          </cell>
          <cell r="I710" t="str">
            <v>Wrong</v>
          </cell>
          <cell r="J710">
            <v>0.93</v>
          </cell>
          <cell r="K710" t="str">
            <v>Low</v>
          </cell>
          <cell r="AB710">
            <v>0</v>
          </cell>
        </row>
        <row r="711">
          <cell r="B711" t="str">
            <v>Farhan Ahmed</v>
          </cell>
          <cell r="I711" t="str">
            <v>Correct</v>
          </cell>
          <cell r="J711">
            <v>1.6</v>
          </cell>
          <cell r="K711" t="str">
            <v>Medium</v>
          </cell>
          <cell r="AB711">
            <v>2</v>
          </cell>
        </row>
        <row r="712">
          <cell r="B712" t="str">
            <v>Farhan Ahmed</v>
          </cell>
          <cell r="I712" t="str">
            <v>Wrong</v>
          </cell>
          <cell r="J712">
            <v>2.08</v>
          </cell>
          <cell r="K712" t="str">
            <v>Medium</v>
          </cell>
          <cell r="AB712">
            <v>0</v>
          </cell>
        </row>
        <row r="713">
          <cell r="B713" t="str">
            <v>Farhan Ahmed</v>
          </cell>
          <cell r="I713" t="str">
            <v>Wrong</v>
          </cell>
          <cell r="J713">
            <v>2.09</v>
          </cell>
          <cell r="K713" t="str">
            <v>Medium</v>
          </cell>
          <cell r="AB713">
            <v>0</v>
          </cell>
        </row>
        <row r="714">
          <cell r="B714" t="str">
            <v>Farhan Ahmed</v>
          </cell>
          <cell r="I714" t="str">
            <v>Correct</v>
          </cell>
          <cell r="J714">
            <v>1.57</v>
          </cell>
          <cell r="K714" t="str">
            <v>Medium</v>
          </cell>
          <cell r="AB714">
            <v>2</v>
          </cell>
        </row>
        <row r="715">
          <cell r="B715" t="str">
            <v>Farhan Ahmed</v>
          </cell>
          <cell r="I715" t="str">
            <v>Wrong</v>
          </cell>
          <cell r="J715">
            <v>2.2000000000000002</v>
          </cell>
          <cell r="K715" t="str">
            <v>Medium</v>
          </cell>
          <cell r="AB715">
            <v>0</v>
          </cell>
        </row>
        <row r="716">
          <cell r="B716" t="str">
            <v>Farhan Ahmed</v>
          </cell>
          <cell r="I716" t="str">
            <v>Wrong</v>
          </cell>
          <cell r="J716">
            <v>1.51</v>
          </cell>
          <cell r="K716" t="str">
            <v>Medium</v>
          </cell>
          <cell r="AB716">
            <v>0</v>
          </cell>
        </row>
        <row r="717">
          <cell r="B717" t="str">
            <v>Farhan Ahmed</v>
          </cell>
          <cell r="I717" t="str">
            <v>Correct</v>
          </cell>
          <cell r="J717">
            <v>1.91</v>
          </cell>
          <cell r="K717" t="str">
            <v>High</v>
          </cell>
          <cell r="AB717">
            <v>3</v>
          </cell>
        </row>
        <row r="718">
          <cell r="B718" t="str">
            <v>Farhan Ahmed</v>
          </cell>
          <cell r="I718" t="str">
            <v>Wrong</v>
          </cell>
          <cell r="J718">
            <v>1.7</v>
          </cell>
          <cell r="K718" t="str">
            <v>High</v>
          </cell>
          <cell r="AB718">
            <v>0</v>
          </cell>
        </row>
        <row r="719">
          <cell r="B719" t="str">
            <v>Farhan Ahmed</v>
          </cell>
          <cell r="I719" t="str">
            <v>Wrong</v>
          </cell>
          <cell r="J719">
            <v>2.2200000000000002</v>
          </cell>
          <cell r="K719" t="str">
            <v>High</v>
          </cell>
          <cell r="AB719">
            <v>0</v>
          </cell>
        </row>
        <row r="720">
          <cell r="B720" t="str">
            <v>Farhan Ahmed</v>
          </cell>
          <cell r="I720" t="str">
            <v>Wrong</v>
          </cell>
          <cell r="J720">
            <v>1.28</v>
          </cell>
          <cell r="K720" t="str">
            <v>High</v>
          </cell>
          <cell r="AB720">
            <v>0</v>
          </cell>
        </row>
        <row r="721">
          <cell r="B721" t="str">
            <v>Farhan Ahmed</v>
          </cell>
          <cell r="I721" t="str">
            <v>Wrong</v>
          </cell>
          <cell r="J721">
            <v>1.93</v>
          </cell>
          <cell r="K721" t="str">
            <v>High</v>
          </cell>
          <cell r="AB721">
            <v>0</v>
          </cell>
        </row>
        <row r="722">
          <cell r="B722" t="str">
            <v>Gayathri Raj</v>
          </cell>
          <cell r="I722" t="str">
            <v>Correct</v>
          </cell>
          <cell r="J722">
            <v>1.08</v>
          </cell>
          <cell r="K722" t="str">
            <v>Low</v>
          </cell>
          <cell r="AB722">
            <v>2</v>
          </cell>
        </row>
        <row r="723">
          <cell r="B723" t="str">
            <v>Gayathri Raj</v>
          </cell>
          <cell r="I723" t="str">
            <v>Correct</v>
          </cell>
          <cell r="J723">
            <v>0.91</v>
          </cell>
          <cell r="K723" t="str">
            <v>Low</v>
          </cell>
          <cell r="AB723">
            <v>1</v>
          </cell>
        </row>
        <row r="724">
          <cell r="B724" t="str">
            <v>Gayathri Raj</v>
          </cell>
          <cell r="I724" t="str">
            <v>Correct</v>
          </cell>
          <cell r="J724">
            <v>1.44</v>
          </cell>
          <cell r="K724" t="str">
            <v>Low</v>
          </cell>
          <cell r="AB724">
            <v>2</v>
          </cell>
        </row>
        <row r="725">
          <cell r="B725" t="str">
            <v>Gayathri Raj</v>
          </cell>
          <cell r="I725" t="str">
            <v>Correct</v>
          </cell>
          <cell r="J725">
            <v>1.94</v>
          </cell>
          <cell r="K725" t="str">
            <v>Low</v>
          </cell>
          <cell r="AB725">
            <v>0.77</v>
          </cell>
        </row>
        <row r="726">
          <cell r="B726" t="str">
            <v>Gayathri Raj</v>
          </cell>
          <cell r="I726" t="str">
            <v>Correct</v>
          </cell>
          <cell r="J726">
            <v>1.59</v>
          </cell>
          <cell r="K726" t="str">
            <v>Low</v>
          </cell>
          <cell r="AB726">
            <v>0.94</v>
          </cell>
        </row>
        <row r="727">
          <cell r="B727" t="str">
            <v>Gayathri Raj</v>
          </cell>
          <cell r="I727" t="str">
            <v>Correct</v>
          </cell>
          <cell r="J727">
            <v>1.78</v>
          </cell>
          <cell r="K727" t="str">
            <v>Low</v>
          </cell>
          <cell r="AB727">
            <v>1.69</v>
          </cell>
        </row>
        <row r="728">
          <cell r="B728" t="str">
            <v>Gayathri Raj</v>
          </cell>
          <cell r="I728" t="str">
            <v>Correct</v>
          </cell>
          <cell r="J728">
            <v>1.96</v>
          </cell>
          <cell r="K728" t="str">
            <v>Low</v>
          </cell>
          <cell r="AB728">
            <v>0.77</v>
          </cell>
        </row>
        <row r="729">
          <cell r="B729" t="str">
            <v>Gayathri Raj</v>
          </cell>
          <cell r="I729" t="str">
            <v>Correct</v>
          </cell>
          <cell r="J729">
            <v>1.06</v>
          </cell>
          <cell r="K729" t="str">
            <v>Low</v>
          </cell>
          <cell r="AB729">
            <v>2</v>
          </cell>
        </row>
        <row r="730">
          <cell r="B730" t="str">
            <v>Gayathri Raj</v>
          </cell>
          <cell r="I730" t="str">
            <v>Wrong</v>
          </cell>
          <cell r="J730">
            <v>1.47</v>
          </cell>
          <cell r="K730" t="str">
            <v>Low</v>
          </cell>
          <cell r="AB730">
            <v>0</v>
          </cell>
        </row>
        <row r="731">
          <cell r="B731" t="str">
            <v>Gayathri Raj</v>
          </cell>
          <cell r="I731" t="str">
            <v>Wrong</v>
          </cell>
          <cell r="J731">
            <v>1.32</v>
          </cell>
          <cell r="K731" t="str">
            <v>Medium</v>
          </cell>
          <cell r="AB731">
            <v>0</v>
          </cell>
        </row>
        <row r="732">
          <cell r="B732" t="str">
            <v>Gayathri Raj</v>
          </cell>
          <cell r="I732" t="str">
            <v>Correct</v>
          </cell>
          <cell r="J732">
            <v>1.7</v>
          </cell>
          <cell r="K732" t="str">
            <v>Medium</v>
          </cell>
          <cell r="AB732">
            <v>2</v>
          </cell>
        </row>
        <row r="733">
          <cell r="B733" t="str">
            <v>Gayathri Raj</v>
          </cell>
          <cell r="I733" t="str">
            <v>Correct</v>
          </cell>
          <cell r="J733">
            <v>1.27</v>
          </cell>
          <cell r="K733" t="str">
            <v>Medium</v>
          </cell>
          <cell r="AB733">
            <v>2</v>
          </cell>
        </row>
        <row r="734">
          <cell r="B734" t="str">
            <v>Gayathri Raj</v>
          </cell>
          <cell r="I734" t="str">
            <v>Correct</v>
          </cell>
          <cell r="J734">
            <v>1.94</v>
          </cell>
          <cell r="K734" t="str">
            <v>Medium</v>
          </cell>
          <cell r="AB734">
            <v>1.86</v>
          </cell>
        </row>
        <row r="735">
          <cell r="B735" t="str">
            <v>Gayathri Raj</v>
          </cell>
          <cell r="I735" t="str">
            <v>Wrong</v>
          </cell>
          <cell r="J735">
            <v>2.27</v>
          </cell>
          <cell r="K735" t="str">
            <v>Medium</v>
          </cell>
          <cell r="AB735">
            <v>0</v>
          </cell>
        </row>
        <row r="736">
          <cell r="B736" t="str">
            <v>Gayathri Raj</v>
          </cell>
          <cell r="I736" t="str">
            <v>Wrong</v>
          </cell>
          <cell r="J736">
            <v>1.43</v>
          </cell>
          <cell r="K736" t="str">
            <v>Medium</v>
          </cell>
          <cell r="AB736">
            <v>0</v>
          </cell>
        </row>
        <row r="737">
          <cell r="B737" t="str">
            <v>Gayathri Raj</v>
          </cell>
          <cell r="I737" t="str">
            <v>Wrong</v>
          </cell>
          <cell r="J737">
            <v>1.5</v>
          </cell>
          <cell r="K737" t="str">
            <v>High</v>
          </cell>
          <cell r="AB737">
            <v>0</v>
          </cell>
        </row>
        <row r="738">
          <cell r="B738" t="str">
            <v>Gayathri Raj</v>
          </cell>
          <cell r="I738" t="str">
            <v>Wrong</v>
          </cell>
          <cell r="J738">
            <v>2.29</v>
          </cell>
          <cell r="K738" t="str">
            <v>High</v>
          </cell>
          <cell r="AB738">
            <v>0</v>
          </cell>
        </row>
        <row r="739">
          <cell r="B739" t="str">
            <v>Gayathri Raj</v>
          </cell>
          <cell r="I739" t="str">
            <v>Correct</v>
          </cell>
          <cell r="J739">
            <v>1.58</v>
          </cell>
          <cell r="K739" t="str">
            <v>High</v>
          </cell>
          <cell r="AB739">
            <v>3</v>
          </cell>
        </row>
        <row r="740">
          <cell r="B740" t="str">
            <v>Gayathri Raj</v>
          </cell>
          <cell r="I740" t="str">
            <v>Wrong</v>
          </cell>
          <cell r="J740">
            <v>1.58</v>
          </cell>
          <cell r="K740" t="str">
            <v>High</v>
          </cell>
          <cell r="AB740">
            <v>0</v>
          </cell>
        </row>
        <row r="741">
          <cell r="B741" t="str">
            <v>Gayathri Raj</v>
          </cell>
          <cell r="I741" t="str">
            <v>Wrong</v>
          </cell>
          <cell r="J741">
            <v>2.08</v>
          </cell>
          <cell r="K741" t="str">
            <v>High</v>
          </cell>
          <cell r="AB741">
            <v>0</v>
          </cell>
        </row>
        <row r="742">
          <cell r="B742" t="str">
            <v>Hemanth Kumar</v>
          </cell>
          <cell r="I742" t="str">
            <v>Correct</v>
          </cell>
          <cell r="J742">
            <v>0.94</v>
          </cell>
          <cell r="K742" t="str">
            <v>Low</v>
          </cell>
          <cell r="AB742">
            <v>2</v>
          </cell>
        </row>
        <row r="743">
          <cell r="B743" t="str">
            <v>Hemanth Kumar</v>
          </cell>
          <cell r="I743" t="str">
            <v>Correct</v>
          </cell>
          <cell r="J743">
            <v>1.1299999999999999</v>
          </cell>
          <cell r="K743" t="str">
            <v>Low</v>
          </cell>
          <cell r="AB743">
            <v>1</v>
          </cell>
        </row>
        <row r="744">
          <cell r="B744" t="str">
            <v>Hemanth Kumar</v>
          </cell>
          <cell r="I744" t="str">
            <v>Correct</v>
          </cell>
          <cell r="J744">
            <v>1.0900000000000001</v>
          </cell>
          <cell r="K744" t="str">
            <v>Low</v>
          </cell>
          <cell r="AB744">
            <v>2</v>
          </cell>
        </row>
        <row r="745">
          <cell r="B745" t="str">
            <v>Hemanth Kumar</v>
          </cell>
          <cell r="I745" t="str">
            <v>Correct</v>
          </cell>
          <cell r="J745">
            <v>1.04</v>
          </cell>
          <cell r="K745" t="str">
            <v>Low</v>
          </cell>
          <cell r="AB745">
            <v>1</v>
          </cell>
        </row>
        <row r="746">
          <cell r="B746" t="str">
            <v>Hemanth Kumar</v>
          </cell>
          <cell r="I746" t="str">
            <v>Correct</v>
          </cell>
          <cell r="J746">
            <v>1.38</v>
          </cell>
          <cell r="K746" t="str">
            <v>Low</v>
          </cell>
          <cell r="AB746">
            <v>1</v>
          </cell>
        </row>
        <row r="747">
          <cell r="B747" t="str">
            <v>Hemanth Kumar</v>
          </cell>
          <cell r="I747" t="str">
            <v>Correct</v>
          </cell>
          <cell r="J747">
            <v>1.34</v>
          </cell>
          <cell r="K747" t="str">
            <v>Low</v>
          </cell>
          <cell r="AB747">
            <v>2</v>
          </cell>
        </row>
        <row r="748">
          <cell r="B748" t="str">
            <v>Hemanth Kumar</v>
          </cell>
          <cell r="I748" t="str">
            <v>Correct</v>
          </cell>
          <cell r="J748">
            <v>1.36</v>
          </cell>
          <cell r="K748" t="str">
            <v>Low</v>
          </cell>
          <cell r="AB748">
            <v>1</v>
          </cell>
        </row>
        <row r="749">
          <cell r="B749" t="str">
            <v>Hemanth Kumar</v>
          </cell>
          <cell r="I749" t="str">
            <v>Wrong</v>
          </cell>
          <cell r="J749">
            <v>1.07</v>
          </cell>
          <cell r="K749" t="str">
            <v>Low</v>
          </cell>
          <cell r="AB749">
            <v>0</v>
          </cell>
        </row>
        <row r="750">
          <cell r="B750" t="str">
            <v>Hemanth Kumar</v>
          </cell>
          <cell r="I750" t="str">
            <v>Wrong</v>
          </cell>
          <cell r="J750">
            <v>1.41</v>
          </cell>
          <cell r="K750" t="str">
            <v>Low</v>
          </cell>
          <cell r="AB750">
            <v>0</v>
          </cell>
        </row>
        <row r="751">
          <cell r="B751" t="str">
            <v>Hemanth Kumar</v>
          </cell>
          <cell r="I751" t="str">
            <v>Wrong</v>
          </cell>
          <cell r="J751">
            <v>1.36</v>
          </cell>
          <cell r="K751" t="str">
            <v>Medium</v>
          </cell>
          <cell r="AB751">
            <v>0</v>
          </cell>
        </row>
        <row r="752">
          <cell r="B752" t="str">
            <v>Hemanth Kumar</v>
          </cell>
          <cell r="I752" t="str">
            <v>Correct</v>
          </cell>
          <cell r="J752">
            <v>1.33</v>
          </cell>
          <cell r="K752" t="str">
            <v>Medium</v>
          </cell>
          <cell r="AB752">
            <v>2</v>
          </cell>
        </row>
        <row r="753">
          <cell r="B753" t="str">
            <v>Hemanth Kumar</v>
          </cell>
          <cell r="I753" t="str">
            <v>Wrong</v>
          </cell>
          <cell r="J753">
            <v>1.31</v>
          </cell>
          <cell r="K753" t="str">
            <v>Medium</v>
          </cell>
          <cell r="AB753">
            <v>0</v>
          </cell>
        </row>
        <row r="754">
          <cell r="B754" t="str">
            <v>Hemanth Kumar</v>
          </cell>
          <cell r="I754" t="str">
            <v>Wrong</v>
          </cell>
          <cell r="J754">
            <v>1.43</v>
          </cell>
          <cell r="K754" t="str">
            <v>Medium</v>
          </cell>
          <cell r="AB754">
            <v>0</v>
          </cell>
        </row>
        <row r="755">
          <cell r="B755" t="str">
            <v>Hemanth Kumar</v>
          </cell>
          <cell r="I755" t="str">
            <v>Wrong</v>
          </cell>
          <cell r="J755">
            <v>1.21</v>
          </cell>
          <cell r="K755" t="str">
            <v>Medium</v>
          </cell>
          <cell r="AB755">
            <v>0</v>
          </cell>
        </row>
        <row r="756">
          <cell r="B756" t="str">
            <v>Hemanth Kumar</v>
          </cell>
          <cell r="I756" t="str">
            <v>Correct</v>
          </cell>
          <cell r="J756">
            <v>1.9</v>
          </cell>
          <cell r="K756" t="str">
            <v>Medium</v>
          </cell>
          <cell r="AB756">
            <v>1.89</v>
          </cell>
        </row>
        <row r="757">
          <cell r="B757" t="str">
            <v>Hemanth Kumar</v>
          </cell>
          <cell r="I757" t="str">
            <v>Correct</v>
          </cell>
          <cell r="J757">
            <v>2.4500000000000002</v>
          </cell>
          <cell r="K757" t="str">
            <v>High</v>
          </cell>
          <cell r="AB757">
            <v>2.4500000000000002</v>
          </cell>
        </row>
        <row r="758">
          <cell r="B758" t="str">
            <v>Hemanth Kumar</v>
          </cell>
          <cell r="I758" t="str">
            <v>Wrong</v>
          </cell>
          <cell r="J758">
            <v>1.38</v>
          </cell>
          <cell r="K758" t="str">
            <v>High</v>
          </cell>
          <cell r="AB758">
            <v>0</v>
          </cell>
        </row>
        <row r="759">
          <cell r="B759" t="str">
            <v>Hemanth Kumar</v>
          </cell>
          <cell r="I759" t="str">
            <v>Correct</v>
          </cell>
          <cell r="J759">
            <v>2.25</v>
          </cell>
          <cell r="K759" t="str">
            <v>High</v>
          </cell>
          <cell r="AB759">
            <v>2.67</v>
          </cell>
        </row>
        <row r="760">
          <cell r="B760" t="str">
            <v>Hemanth Kumar</v>
          </cell>
          <cell r="I760" t="str">
            <v>Wrong</v>
          </cell>
          <cell r="J760">
            <v>1.72</v>
          </cell>
          <cell r="K760" t="str">
            <v>High</v>
          </cell>
          <cell r="AB760">
            <v>0</v>
          </cell>
        </row>
        <row r="761">
          <cell r="B761" t="str">
            <v>Hemanth Kumar</v>
          </cell>
          <cell r="I761" t="str">
            <v>Wrong</v>
          </cell>
          <cell r="J761">
            <v>1.45</v>
          </cell>
          <cell r="K761" t="str">
            <v>High</v>
          </cell>
          <cell r="AB761">
            <v>0</v>
          </cell>
        </row>
        <row r="762">
          <cell r="B762" t="str">
            <v>Ishita Roy</v>
          </cell>
          <cell r="I762" t="str">
            <v>Wrong</v>
          </cell>
          <cell r="J762">
            <v>1.37</v>
          </cell>
          <cell r="K762" t="str">
            <v>Low</v>
          </cell>
          <cell r="AB762">
            <v>0</v>
          </cell>
        </row>
        <row r="763">
          <cell r="B763" t="str">
            <v>Ishita Roy</v>
          </cell>
          <cell r="I763" t="str">
            <v>Correct</v>
          </cell>
          <cell r="J763">
            <v>1.3</v>
          </cell>
          <cell r="K763" t="str">
            <v>Low</v>
          </cell>
          <cell r="AB763">
            <v>1</v>
          </cell>
        </row>
        <row r="764">
          <cell r="B764" t="str">
            <v>Ishita Roy</v>
          </cell>
          <cell r="I764" t="str">
            <v>Correct</v>
          </cell>
          <cell r="J764">
            <v>1.6</v>
          </cell>
          <cell r="K764" t="str">
            <v>Low</v>
          </cell>
          <cell r="AB764">
            <v>1.88</v>
          </cell>
        </row>
        <row r="765">
          <cell r="B765" t="str">
            <v>Ishita Roy</v>
          </cell>
          <cell r="I765" t="str">
            <v>Correct</v>
          </cell>
          <cell r="J765">
            <v>1.21</v>
          </cell>
          <cell r="K765" t="str">
            <v>Low</v>
          </cell>
          <cell r="AB765">
            <v>1</v>
          </cell>
        </row>
        <row r="766">
          <cell r="B766" t="str">
            <v>Ishita Roy</v>
          </cell>
          <cell r="I766" t="str">
            <v>Correct</v>
          </cell>
          <cell r="J766">
            <v>1.71</v>
          </cell>
          <cell r="K766" t="str">
            <v>Low</v>
          </cell>
          <cell r="AB766">
            <v>0.88</v>
          </cell>
        </row>
        <row r="767">
          <cell r="B767" t="str">
            <v>Ishita Roy</v>
          </cell>
          <cell r="I767" t="str">
            <v>Correct</v>
          </cell>
          <cell r="J767">
            <v>1.91</v>
          </cell>
          <cell r="K767" t="str">
            <v>Low</v>
          </cell>
          <cell r="AB767">
            <v>1.57</v>
          </cell>
        </row>
        <row r="768">
          <cell r="B768" t="str">
            <v>Ishita Roy</v>
          </cell>
          <cell r="I768" t="str">
            <v>Correct</v>
          </cell>
          <cell r="J768">
            <v>0.93</v>
          </cell>
          <cell r="K768" t="str">
            <v>Low</v>
          </cell>
          <cell r="AB768">
            <v>1</v>
          </cell>
        </row>
        <row r="769">
          <cell r="B769" t="str">
            <v>Ishita Roy</v>
          </cell>
          <cell r="I769" t="str">
            <v>Correct</v>
          </cell>
          <cell r="J769">
            <v>1.59</v>
          </cell>
          <cell r="K769" t="str">
            <v>Low</v>
          </cell>
          <cell r="AB769">
            <v>1.89</v>
          </cell>
        </row>
        <row r="770">
          <cell r="B770" t="str">
            <v>Ishita Roy</v>
          </cell>
          <cell r="I770" t="str">
            <v>Wrong</v>
          </cell>
          <cell r="J770">
            <v>1.47</v>
          </cell>
          <cell r="K770" t="str">
            <v>Low</v>
          </cell>
          <cell r="AB770">
            <v>0</v>
          </cell>
        </row>
        <row r="771">
          <cell r="B771" t="str">
            <v>Ishita Roy</v>
          </cell>
          <cell r="I771" t="str">
            <v>Correct</v>
          </cell>
          <cell r="J771">
            <v>1.24</v>
          </cell>
          <cell r="K771" t="str">
            <v>Medium</v>
          </cell>
          <cell r="AB771">
            <v>2</v>
          </cell>
        </row>
        <row r="772">
          <cell r="B772" t="str">
            <v>Ishita Roy</v>
          </cell>
          <cell r="I772" t="str">
            <v>Correct</v>
          </cell>
          <cell r="J772">
            <v>1.44</v>
          </cell>
          <cell r="K772" t="str">
            <v>Medium</v>
          </cell>
          <cell r="AB772">
            <v>2</v>
          </cell>
        </row>
        <row r="773">
          <cell r="B773" t="str">
            <v>Ishita Roy</v>
          </cell>
          <cell r="I773" t="str">
            <v>Wrong</v>
          </cell>
          <cell r="J773">
            <v>2.27</v>
          </cell>
          <cell r="K773" t="str">
            <v>Medium</v>
          </cell>
          <cell r="AB773">
            <v>0</v>
          </cell>
        </row>
        <row r="774">
          <cell r="B774" t="str">
            <v>Ishita Roy</v>
          </cell>
          <cell r="I774" t="str">
            <v>Correct</v>
          </cell>
          <cell r="J774">
            <v>1.23</v>
          </cell>
          <cell r="K774" t="str">
            <v>Medium</v>
          </cell>
          <cell r="AB774">
            <v>2</v>
          </cell>
        </row>
        <row r="775">
          <cell r="B775" t="str">
            <v>Ishita Roy</v>
          </cell>
          <cell r="I775" t="str">
            <v>Wrong</v>
          </cell>
          <cell r="J775">
            <v>1.18</v>
          </cell>
          <cell r="K775" t="str">
            <v>Medium</v>
          </cell>
          <cell r="AB775">
            <v>0</v>
          </cell>
        </row>
        <row r="776">
          <cell r="B776" t="str">
            <v>Ishita Roy</v>
          </cell>
          <cell r="I776" t="str">
            <v>Correct</v>
          </cell>
          <cell r="J776">
            <v>2.04</v>
          </cell>
          <cell r="K776" t="str">
            <v>Medium</v>
          </cell>
          <cell r="AB776">
            <v>1.76</v>
          </cell>
        </row>
        <row r="777">
          <cell r="B777" t="str">
            <v>Ishita Roy</v>
          </cell>
          <cell r="I777" t="str">
            <v>Correct</v>
          </cell>
          <cell r="J777">
            <v>1.8</v>
          </cell>
          <cell r="K777" t="str">
            <v>High</v>
          </cell>
          <cell r="AB777">
            <v>3</v>
          </cell>
        </row>
        <row r="778">
          <cell r="B778" t="str">
            <v>Ishita Roy</v>
          </cell>
          <cell r="I778" t="str">
            <v>Wrong</v>
          </cell>
          <cell r="J778">
            <v>2.27</v>
          </cell>
          <cell r="K778" t="str">
            <v>High</v>
          </cell>
          <cell r="AB778">
            <v>0</v>
          </cell>
        </row>
        <row r="779">
          <cell r="B779" t="str">
            <v>Ishita Roy</v>
          </cell>
          <cell r="I779" t="str">
            <v>Wrong</v>
          </cell>
          <cell r="J779">
            <v>1.98</v>
          </cell>
          <cell r="K779" t="str">
            <v>High</v>
          </cell>
          <cell r="AB779">
            <v>0</v>
          </cell>
        </row>
        <row r="780">
          <cell r="B780" t="str">
            <v>Ishita Roy</v>
          </cell>
          <cell r="I780" t="str">
            <v>Wrong</v>
          </cell>
          <cell r="J780">
            <v>2.4500000000000002</v>
          </cell>
          <cell r="K780" t="str">
            <v>High</v>
          </cell>
          <cell r="AB780">
            <v>0</v>
          </cell>
        </row>
        <row r="781">
          <cell r="B781" t="str">
            <v>Ishita Roy</v>
          </cell>
          <cell r="I781" t="str">
            <v>Wrong</v>
          </cell>
          <cell r="J781">
            <v>2.2200000000000002</v>
          </cell>
          <cell r="K781" t="str">
            <v>High</v>
          </cell>
          <cell r="AB781">
            <v>0</v>
          </cell>
        </row>
        <row r="782">
          <cell r="B782" t="str">
            <v>Jeevan Thomas</v>
          </cell>
          <cell r="I782" t="str">
            <v>Correct</v>
          </cell>
          <cell r="J782">
            <v>1.58</v>
          </cell>
          <cell r="K782" t="str">
            <v>Low</v>
          </cell>
          <cell r="AB782">
            <v>1.9</v>
          </cell>
        </row>
        <row r="783">
          <cell r="B783" t="str">
            <v>Jeevan Thomas</v>
          </cell>
          <cell r="I783" t="str">
            <v>Correct</v>
          </cell>
          <cell r="J783">
            <v>1.6</v>
          </cell>
          <cell r="K783" t="str">
            <v>Low</v>
          </cell>
          <cell r="AB783">
            <v>0.94</v>
          </cell>
        </row>
        <row r="784">
          <cell r="B784" t="str">
            <v>Jeevan Thomas</v>
          </cell>
          <cell r="I784" t="str">
            <v>Correct</v>
          </cell>
          <cell r="J784">
            <v>1.73</v>
          </cell>
          <cell r="K784" t="str">
            <v>Low</v>
          </cell>
          <cell r="AB784">
            <v>1.73</v>
          </cell>
        </row>
        <row r="785">
          <cell r="B785" t="str">
            <v>Jeevan Thomas</v>
          </cell>
          <cell r="I785" t="str">
            <v>Wrong</v>
          </cell>
          <cell r="J785">
            <v>1.64</v>
          </cell>
          <cell r="K785" t="str">
            <v>Low</v>
          </cell>
          <cell r="AB785">
            <v>0</v>
          </cell>
        </row>
        <row r="786">
          <cell r="B786" t="str">
            <v>Jeevan Thomas</v>
          </cell>
          <cell r="I786" t="str">
            <v>Correct</v>
          </cell>
          <cell r="J786">
            <v>1.29</v>
          </cell>
          <cell r="K786" t="str">
            <v>Low</v>
          </cell>
          <cell r="AB786">
            <v>1</v>
          </cell>
        </row>
        <row r="787">
          <cell r="B787" t="str">
            <v>Jeevan Thomas</v>
          </cell>
          <cell r="I787" t="str">
            <v>Correct</v>
          </cell>
          <cell r="J787">
            <v>1.53</v>
          </cell>
          <cell r="K787" t="str">
            <v>Low</v>
          </cell>
          <cell r="AB787">
            <v>1.96</v>
          </cell>
        </row>
        <row r="788">
          <cell r="B788" t="str">
            <v>Jeevan Thomas</v>
          </cell>
          <cell r="I788" t="str">
            <v>Correct</v>
          </cell>
          <cell r="J788">
            <v>1.72</v>
          </cell>
          <cell r="K788" t="str">
            <v>Low</v>
          </cell>
          <cell r="AB788">
            <v>0.87</v>
          </cell>
        </row>
        <row r="789">
          <cell r="B789" t="str">
            <v>Jeevan Thomas</v>
          </cell>
          <cell r="I789" t="str">
            <v>Correct</v>
          </cell>
          <cell r="J789">
            <v>1.84</v>
          </cell>
          <cell r="K789" t="str">
            <v>Low</v>
          </cell>
          <cell r="AB789">
            <v>1.63</v>
          </cell>
        </row>
        <row r="790">
          <cell r="B790" t="str">
            <v>Jeevan Thomas</v>
          </cell>
          <cell r="I790" t="str">
            <v>Correct</v>
          </cell>
          <cell r="J790">
            <v>1.57</v>
          </cell>
          <cell r="K790" t="str">
            <v>Low</v>
          </cell>
          <cell r="AB790">
            <v>1.91</v>
          </cell>
        </row>
        <row r="791">
          <cell r="B791" t="str">
            <v>Jeevan Thomas</v>
          </cell>
          <cell r="I791" t="str">
            <v>Wrong</v>
          </cell>
          <cell r="J791">
            <v>2.2400000000000002</v>
          </cell>
          <cell r="K791" t="str">
            <v>Medium</v>
          </cell>
          <cell r="AB791">
            <v>0</v>
          </cell>
        </row>
        <row r="792">
          <cell r="B792" t="str">
            <v>Jeevan Thomas</v>
          </cell>
          <cell r="I792" t="str">
            <v>Wrong</v>
          </cell>
          <cell r="J792">
            <v>1.76</v>
          </cell>
          <cell r="K792" t="str">
            <v>Medium</v>
          </cell>
          <cell r="AB792">
            <v>0</v>
          </cell>
        </row>
        <row r="793">
          <cell r="B793" t="str">
            <v>Jeevan Thomas</v>
          </cell>
          <cell r="I793" t="str">
            <v>Correct</v>
          </cell>
          <cell r="J793">
            <v>1.7</v>
          </cell>
          <cell r="K793" t="str">
            <v>Medium</v>
          </cell>
          <cell r="AB793">
            <v>2</v>
          </cell>
        </row>
        <row r="794">
          <cell r="B794" t="str">
            <v>Jeevan Thomas</v>
          </cell>
          <cell r="I794" t="str">
            <v>Wrong</v>
          </cell>
          <cell r="J794">
            <v>1.17</v>
          </cell>
          <cell r="K794" t="str">
            <v>Medium</v>
          </cell>
          <cell r="AB794">
            <v>0</v>
          </cell>
        </row>
        <row r="795">
          <cell r="B795" t="str">
            <v>Jeevan Thomas</v>
          </cell>
          <cell r="I795" t="str">
            <v>Wrong</v>
          </cell>
          <cell r="J795">
            <v>1.82</v>
          </cell>
          <cell r="K795" t="str">
            <v>Medium</v>
          </cell>
          <cell r="AB795">
            <v>0</v>
          </cell>
        </row>
        <row r="796">
          <cell r="B796" t="str">
            <v>Jeevan Thomas</v>
          </cell>
          <cell r="I796" t="str">
            <v>Correct</v>
          </cell>
          <cell r="J796">
            <v>1.4</v>
          </cell>
          <cell r="K796" t="str">
            <v>Medium</v>
          </cell>
          <cell r="AB796">
            <v>2</v>
          </cell>
        </row>
        <row r="797">
          <cell r="B797" t="str">
            <v>Jeevan Thomas</v>
          </cell>
          <cell r="I797" t="str">
            <v>Correct</v>
          </cell>
          <cell r="J797">
            <v>1.31</v>
          </cell>
          <cell r="K797" t="str">
            <v>High</v>
          </cell>
          <cell r="AB797">
            <v>3</v>
          </cell>
        </row>
        <row r="798">
          <cell r="B798" t="str">
            <v>Jeevan Thomas</v>
          </cell>
          <cell r="I798" t="str">
            <v>Correct</v>
          </cell>
          <cell r="J798">
            <v>1.62</v>
          </cell>
          <cell r="K798" t="str">
            <v>High</v>
          </cell>
          <cell r="AB798">
            <v>3</v>
          </cell>
        </row>
        <row r="799">
          <cell r="B799" t="str">
            <v>Jeevan Thomas</v>
          </cell>
          <cell r="I799" t="str">
            <v>Correct</v>
          </cell>
          <cell r="J799">
            <v>1.51</v>
          </cell>
          <cell r="K799" t="str">
            <v>High</v>
          </cell>
          <cell r="AB799">
            <v>3</v>
          </cell>
        </row>
        <row r="800">
          <cell r="B800" t="str">
            <v>Jeevan Thomas</v>
          </cell>
          <cell r="I800" t="str">
            <v>Correct</v>
          </cell>
          <cell r="J800">
            <v>2.08</v>
          </cell>
          <cell r="K800" t="str">
            <v>High</v>
          </cell>
          <cell r="AB800">
            <v>2.89</v>
          </cell>
        </row>
        <row r="801">
          <cell r="B801" t="str">
            <v>Jeevan Thomas</v>
          </cell>
          <cell r="I801" t="str">
            <v>Wrong</v>
          </cell>
          <cell r="J801">
            <v>2.1</v>
          </cell>
          <cell r="K801" t="str">
            <v>High</v>
          </cell>
          <cell r="AB801">
            <v>0</v>
          </cell>
        </row>
        <row r="802">
          <cell r="B802" t="str">
            <v>Kiran Kumar</v>
          </cell>
          <cell r="I802" t="str">
            <v>Correct</v>
          </cell>
          <cell r="J802">
            <v>1.26</v>
          </cell>
          <cell r="K802" t="str">
            <v>Low</v>
          </cell>
          <cell r="AB802">
            <v>2</v>
          </cell>
        </row>
        <row r="803">
          <cell r="B803" t="str">
            <v>Kiran Kumar</v>
          </cell>
          <cell r="I803" t="str">
            <v>Wrong</v>
          </cell>
          <cell r="J803">
            <v>1.2</v>
          </cell>
          <cell r="K803" t="str">
            <v>Low</v>
          </cell>
          <cell r="AB803">
            <v>0</v>
          </cell>
        </row>
        <row r="804">
          <cell r="B804" t="str">
            <v>Kiran Kumar</v>
          </cell>
          <cell r="I804" t="str">
            <v>Correct</v>
          </cell>
          <cell r="J804">
            <v>1.98</v>
          </cell>
          <cell r="K804" t="str">
            <v>Low</v>
          </cell>
          <cell r="AB804">
            <v>1.52</v>
          </cell>
        </row>
        <row r="805">
          <cell r="B805" t="str">
            <v>Kiran Kumar</v>
          </cell>
          <cell r="I805" t="str">
            <v>Correct</v>
          </cell>
          <cell r="J805">
            <v>1.38</v>
          </cell>
          <cell r="K805" t="str">
            <v>Low</v>
          </cell>
          <cell r="AB805">
            <v>1</v>
          </cell>
        </row>
        <row r="806">
          <cell r="B806" t="str">
            <v>Kiran Kumar</v>
          </cell>
          <cell r="I806" t="str">
            <v>Wrong</v>
          </cell>
          <cell r="J806">
            <v>1.78</v>
          </cell>
          <cell r="K806" t="str">
            <v>Low</v>
          </cell>
          <cell r="AB806">
            <v>0</v>
          </cell>
        </row>
        <row r="807">
          <cell r="B807" t="str">
            <v>Kiran Kumar</v>
          </cell>
          <cell r="I807" t="str">
            <v>Correct</v>
          </cell>
          <cell r="J807">
            <v>1.36</v>
          </cell>
          <cell r="K807" t="str">
            <v>Low</v>
          </cell>
          <cell r="AB807">
            <v>2</v>
          </cell>
        </row>
        <row r="808">
          <cell r="B808" t="str">
            <v>Kiran Kumar</v>
          </cell>
          <cell r="I808" t="str">
            <v>Correct</v>
          </cell>
          <cell r="J808">
            <v>1.1399999999999999</v>
          </cell>
          <cell r="K808" t="str">
            <v>Low</v>
          </cell>
          <cell r="AB808">
            <v>1</v>
          </cell>
        </row>
        <row r="809">
          <cell r="B809" t="str">
            <v>Kiran Kumar</v>
          </cell>
          <cell r="I809" t="str">
            <v>Correct</v>
          </cell>
          <cell r="J809">
            <v>0.93</v>
          </cell>
          <cell r="K809" t="str">
            <v>Low</v>
          </cell>
          <cell r="AB809">
            <v>2</v>
          </cell>
        </row>
        <row r="810">
          <cell r="B810" t="str">
            <v>Kiran Kumar</v>
          </cell>
          <cell r="I810" t="str">
            <v>Correct</v>
          </cell>
          <cell r="J810">
            <v>1.28</v>
          </cell>
          <cell r="K810" t="str">
            <v>Low</v>
          </cell>
          <cell r="AB810">
            <v>2</v>
          </cell>
        </row>
        <row r="811">
          <cell r="B811" t="str">
            <v>Kiran Kumar</v>
          </cell>
          <cell r="I811" t="str">
            <v>Correct</v>
          </cell>
          <cell r="J811">
            <v>1.2</v>
          </cell>
          <cell r="K811" t="str">
            <v>Medium</v>
          </cell>
          <cell r="AB811">
            <v>2</v>
          </cell>
        </row>
        <row r="812">
          <cell r="B812" t="str">
            <v>Kiran Kumar</v>
          </cell>
          <cell r="I812" t="str">
            <v>Wrong</v>
          </cell>
          <cell r="J812">
            <v>1.69</v>
          </cell>
          <cell r="K812" t="str">
            <v>Medium</v>
          </cell>
          <cell r="AB812">
            <v>0</v>
          </cell>
        </row>
        <row r="813">
          <cell r="B813" t="str">
            <v>Kiran Kumar</v>
          </cell>
          <cell r="I813" t="str">
            <v>Wrong</v>
          </cell>
          <cell r="J813">
            <v>1.1299999999999999</v>
          </cell>
          <cell r="K813" t="str">
            <v>Medium</v>
          </cell>
          <cell r="AB813">
            <v>0</v>
          </cell>
        </row>
        <row r="814">
          <cell r="B814" t="str">
            <v>Kiran Kumar</v>
          </cell>
          <cell r="I814" t="str">
            <v>Correct</v>
          </cell>
          <cell r="J814">
            <v>1.8</v>
          </cell>
          <cell r="K814" t="str">
            <v>Medium</v>
          </cell>
          <cell r="AB814">
            <v>2</v>
          </cell>
        </row>
        <row r="815">
          <cell r="B815" t="str">
            <v>Kiran Kumar</v>
          </cell>
          <cell r="I815" t="str">
            <v>Wrong</v>
          </cell>
          <cell r="J815">
            <v>1.29</v>
          </cell>
          <cell r="K815" t="str">
            <v>Medium</v>
          </cell>
          <cell r="AB815">
            <v>0</v>
          </cell>
        </row>
        <row r="816">
          <cell r="B816" t="str">
            <v>Kiran Kumar</v>
          </cell>
          <cell r="I816" t="str">
            <v>Correct</v>
          </cell>
          <cell r="J816">
            <v>1.88</v>
          </cell>
          <cell r="K816" t="str">
            <v>Medium</v>
          </cell>
          <cell r="AB816">
            <v>1.91</v>
          </cell>
        </row>
        <row r="817">
          <cell r="B817" t="str">
            <v>Kiran Kumar</v>
          </cell>
          <cell r="I817" t="str">
            <v>Wrong</v>
          </cell>
          <cell r="J817">
            <v>2.0699999999999998</v>
          </cell>
          <cell r="K817" t="str">
            <v>High</v>
          </cell>
          <cell r="AB817">
            <v>0</v>
          </cell>
        </row>
        <row r="818">
          <cell r="B818" t="str">
            <v>Kiran Kumar</v>
          </cell>
          <cell r="I818" t="str">
            <v>Wrong</v>
          </cell>
          <cell r="J818">
            <v>1.37</v>
          </cell>
          <cell r="K818" t="str">
            <v>High</v>
          </cell>
          <cell r="AB818">
            <v>0</v>
          </cell>
        </row>
        <row r="819">
          <cell r="B819" t="str">
            <v>Kiran Kumar</v>
          </cell>
          <cell r="I819" t="str">
            <v>Wrong</v>
          </cell>
          <cell r="J819">
            <v>2.12</v>
          </cell>
          <cell r="K819" t="str">
            <v>High</v>
          </cell>
          <cell r="AB819">
            <v>0</v>
          </cell>
        </row>
        <row r="820">
          <cell r="B820" t="str">
            <v>Kiran Kumar</v>
          </cell>
          <cell r="I820" t="str">
            <v>Wrong</v>
          </cell>
          <cell r="J820">
            <v>1.3</v>
          </cell>
          <cell r="K820" t="str">
            <v>High</v>
          </cell>
          <cell r="AB820">
            <v>0</v>
          </cell>
        </row>
        <row r="821">
          <cell r="B821" t="str">
            <v>Kiran Kumar</v>
          </cell>
          <cell r="I821" t="str">
            <v>Correct</v>
          </cell>
          <cell r="J821">
            <v>2.06</v>
          </cell>
          <cell r="K821" t="str">
            <v>High</v>
          </cell>
          <cell r="AB821">
            <v>2.91</v>
          </cell>
        </row>
        <row r="822">
          <cell r="B822" t="str">
            <v>Lavanya Devi</v>
          </cell>
          <cell r="I822" t="str">
            <v>Wrong</v>
          </cell>
          <cell r="J822">
            <v>1.18</v>
          </cell>
          <cell r="K822" t="str">
            <v>Low</v>
          </cell>
          <cell r="AB822">
            <v>0</v>
          </cell>
        </row>
        <row r="823">
          <cell r="B823" t="str">
            <v>Lavanya Devi</v>
          </cell>
          <cell r="I823" t="str">
            <v>Correct</v>
          </cell>
          <cell r="J823">
            <v>1.98</v>
          </cell>
          <cell r="K823" t="str">
            <v>Low</v>
          </cell>
          <cell r="AB823">
            <v>0.76</v>
          </cell>
        </row>
        <row r="824">
          <cell r="B824" t="str">
            <v>Lavanya Devi</v>
          </cell>
          <cell r="I824" t="str">
            <v>Correct</v>
          </cell>
          <cell r="J824">
            <v>1.82</v>
          </cell>
          <cell r="K824" t="str">
            <v>Low</v>
          </cell>
          <cell r="AB824">
            <v>1.65</v>
          </cell>
        </row>
        <row r="825">
          <cell r="B825" t="str">
            <v>Lavanya Devi</v>
          </cell>
          <cell r="I825" t="str">
            <v>Correct</v>
          </cell>
          <cell r="J825">
            <v>1.58</v>
          </cell>
          <cell r="K825" t="str">
            <v>Low</v>
          </cell>
          <cell r="AB825">
            <v>0.95</v>
          </cell>
        </row>
        <row r="826">
          <cell r="B826" t="str">
            <v>Lavanya Devi</v>
          </cell>
          <cell r="I826" t="str">
            <v>Correct</v>
          </cell>
          <cell r="J826">
            <v>1.25</v>
          </cell>
          <cell r="K826" t="str">
            <v>Low</v>
          </cell>
          <cell r="AB826">
            <v>1</v>
          </cell>
        </row>
        <row r="827">
          <cell r="B827" t="str">
            <v>Lavanya Devi</v>
          </cell>
          <cell r="I827" t="str">
            <v>Correct</v>
          </cell>
          <cell r="J827">
            <v>1.94</v>
          </cell>
          <cell r="K827" t="str">
            <v>Low</v>
          </cell>
          <cell r="AB827">
            <v>1.55</v>
          </cell>
        </row>
        <row r="828">
          <cell r="B828" t="str">
            <v>Lavanya Devi</v>
          </cell>
          <cell r="I828" t="str">
            <v>Correct</v>
          </cell>
          <cell r="J828">
            <v>1.02</v>
          </cell>
          <cell r="K828" t="str">
            <v>Low</v>
          </cell>
          <cell r="AB828">
            <v>1</v>
          </cell>
        </row>
        <row r="829">
          <cell r="B829" t="str">
            <v>Lavanya Devi</v>
          </cell>
          <cell r="I829" t="str">
            <v>Correct</v>
          </cell>
          <cell r="J829">
            <v>1.2</v>
          </cell>
          <cell r="K829" t="str">
            <v>Low</v>
          </cell>
          <cell r="AB829">
            <v>2</v>
          </cell>
        </row>
        <row r="830">
          <cell r="B830" t="str">
            <v>Lavanya Devi</v>
          </cell>
          <cell r="I830" t="str">
            <v>Correct</v>
          </cell>
          <cell r="J830">
            <v>1.8</v>
          </cell>
          <cell r="K830" t="str">
            <v>Low</v>
          </cell>
          <cell r="AB830">
            <v>1.67</v>
          </cell>
        </row>
        <row r="831">
          <cell r="B831" t="str">
            <v>Lavanya Devi</v>
          </cell>
          <cell r="I831" t="str">
            <v>Correct</v>
          </cell>
          <cell r="J831">
            <v>1.92</v>
          </cell>
          <cell r="K831" t="str">
            <v>Medium</v>
          </cell>
          <cell r="AB831">
            <v>1.88</v>
          </cell>
        </row>
        <row r="832">
          <cell r="B832" t="str">
            <v>Lavanya Devi</v>
          </cell>
          <cell r="I832" t="str">
            <v>Correct</v>
          </cell>
          <cell r="J832">
            <v>2.09</v>
          </cell>
          <cell r="K832" t="str">
            <v>Medium</v>
          </cell>
          <cell r="AB832">
            <v>1.72</v>
          </cell>
        </row>
        <row r="833">
          <cell r="B833" t="str">
            <v>Lavanya Devi</v>
          </cell>
          <cell r="I833" t="str">
            <v>Correct</v>
          </cell>
          <cell r="J833">
            <v>2.2400000000000002</v>
          </cell>
          <cell r="K833" t="str">
            <v>Medium</v>
          </cell>
          <cell r="AB833">
            <v>1.61</v>
          </cell>
        </row>
        <row r="834">
          <cell r="B834" t="str">
            <v>Lavanya Devi</v>
          </cell>
          <cell r="I834" t="str">
            <v>Correct</v>
          </cell>
          <cell r="J834">
            <v>1.98</v>
          </cell>
          <cell r="K834" t="str">
            <v>Medium</v>
          </cell>
          <cell r="AB834">
            <v>1.82</v>
          </cell>
        </row>
        <row r="835">
          <cell r="B835" t="str">
            <v>Lavanya Devi</v>
          </cell>
          <cell r="I835" t="str">
            <v>Wrong</v>
          </cell>
          <cell r="J835">
            <v>1.71</v>
          </cell>
          <cell r="K835" t="str">
            <v>Medium</v>
          </cell>
          <cell r="AB835">
            <v>0</v>
          </cell>
        </row>
        <row r="836">
          <cell r="B836" t="str">
            <v>Lavanya Devi</v>
          </cell>
          <cell r="I836" t="str">
            <v>Wrong</v>
          </cell>
          <cell r="J836">
            <v>1.64</v>
          </cell>
          <cell r="K836" t="str">
            <v>Medium</v>
          </cell>
          <cell r="AB836">
            <v>0</v>
          </cell>
        </row>
        <row r="837">
          <cell r="B837" t="str">
            <v>Lavanya Devi</v>
          </cell>
          <cell r="I837" t="str">
            <v>Correct</v>
          </cell>
          <cell r="J837">
            <v>2.27</v>
          </cell>
          <cell r="K837" t="str">
            <v>High</v>
          </cell>
          <cell r="AB837">
            <v>2.64</v>
          </cell>
        </row>
        <row r="838">
          <cell r="B838" t="str">
            <v>Lavanya Devi</v>
          </cell>
          <cell r="I838" t="str">
            <v>Wrong</v>
          </cell>
          <cell r="J838">
            <v>1.81</v>
          </cell>
          <cell r="K838" t="str">
            <v>High</v>
          </cell>
          <cell r="AB838">
            <v>0</v>
          </cell>
        </row>
        <row r="839">
          <cell r="B839" t="str">
            <v>Lavanya Devi</v>
          </cell>
          <cell r="I839" t="str">
            <v>Correct</v>
          </cell>
          <cell r="J839">
            <v>1.36</v>
          </cell>
          <cell r="K839" t="str">
            <v>High</v>
          </cell>
          <cell r="AB839">
            <v>3</v>
          </cell>
        </row>
        <row r="840">
          <cell r="B840" t="str">
            <v>Lavanya Devi</v>
          </cell>
          <cell r="I840" t="str">
            <v>Wrong</v>
          </cell>
          <cell r="J840">
            <v>1.4</v>
          </cell>
          <cell r="K840" t="str">
            <v>High</v>
          </cell>
          <cell r="AB840">
            <v>0</v>
          </cell>
        </row>
        <row r="841">
          <cell r="B841" t="str">
            <v>Lavanya Devi</v>
          </cell>
          <cell r="I841" t="str">
            <v>Wrong</v>
          </cell>
          <cell r="J841">
            <v>1.59</v>
          </cell>
          <cell r="K841" t="str">
            <v>High</v>
          </cell>
          <cell r="AB841">
            <v>0</v>
          </cell>
        </row>
        <row r="842">
          <cell r="B842" t="str">
            <v>Madhan Raj</v>
          </cell>
          <cell r="I842" t="str">
            <v>Wrong</v>
          </cell>
          <cell r="J842">
            <v>1.18</v>
          </cell>
          <cell r="K842" t="str">
            <v>Low</v>
          </cell>
          <cell r="AB842">
            <v>0</v>
          </cell>
        </row>
        <row r="843">
          <cell r="B843" t="str">
            <v>Madhan Raj</v>
          </cell>
          <cell r="I843" t="str">
            <v>Wrong</v>
          </cell>
          <cell r="J843">
            <v>1.55</v>
          </cell>
          <cell r="K843" t="str">
            <v>Low</v>
          </cell>
          <cell r="AB843">
            <v>0</v>
          </cell>
        </row>
        <row r="844">
          <cell r="B844" t="str">
            <v>Madhan Raj</v>
          </cell>
          <cell r="I844" t="str">
            <v>Wrong</v>
          </cell>
          <cell r="J844">
            <v>1.75</v>
          </cell>
          <cell r="K844" t="str">
            <v>Low</v>
          </cell>
          <cell r="AB844">
            <v>0</v>
          </cell>
        </row>
        <row r="845">
          <cell r="B845" t="str">
            <v>Madhan Raj</v>
          </cell>
          <cell r="I845" t="str">
            <v>Correct</v>
          </cell>
          <cell r="J845">
            <v>1.03</v>
          </cell>
          <cell r="K845" t="str">
            <v>Low</v>
          </cell>
          <cell r="AB845">
            <v>1</v>
          </cell>
        </row>
        <row r="846">
          <cell r="B846" t="str">
            <v>Madhan Raj</v>
          </cell>
          <cell r="I846" t="str">
            <v>Correct</v>
          </cell>
          <cell r="J846">
            <v>1.55</v>
          </cell>
          <cell r="K846" t="str">
            <v>Low</v>
          </cell>
          <cell r="AB846">
            <v>0.97</v>
          </cell>
        </row>
        <row r="847">
          <cell r="B847" t="str">
            <v>Madhan Raj</v>
          </cell>
          <cell r="I847" t="str">
            <v>Correct</v>
          </cell>
          <cell r="J847">
            <v>1.5</v>
          </cell>
          <cell r="K847" t="str">
            <v>Low</v>
          </cell>
          <cell r="AB847">
            <v>2</v>
          </cell>
        </row>
        <row r="848">
          <cell r="B848" t="str">
            <v>Madhan Raj</v>
          </cell>
          <cell r="I848" t="str">
            <v>Correct</v>
          </cell>
          <cell r="J848">
            <v>1.89</v>
          </cell>
          <cell r="K848" t="str">
            <v>Low</v>
          </cell>
          <cell r="AB848">
            <v>0.79</v>
          </cell>
        </row>
        <row r="849">
          <cell r="B849" t="str">
            <v>Madhan Raj</v>
          </cell>
          <cell r="I849" t="str">
            <v>Correct</v>
          </cell>
          <cell r="J849">
            <v>1.28</v>
          </cell>
          <cell r="K849" t="str">
            <v>Low</v>
          </cell>
          <cell r="AB849">
            <v>2</v>
          </cell>
        </row>
        <row r="850">
          <cell r="B850" t="str">
            <v>Madhan Raj</v>
          </cell>
          <cell r="I850" t="str">
            <v>Correct</v>
          </cell>
          <cell r="J850">
            <v>1.44</v>
          </cell>
          <cell r="K850" t="str">
            <v>Low</v>
          </cell>
          <cell r="AB850">
            <v>2</v>
          </cell>
        </row>
        <row r="851">
          <cell r="B851" t="str">
            <v>Madhan Raj</v>
          </cell>
          <cell r="I851" t="str">
            <v>Correct</v>
          </cell>
          <cell r="J851">
            <v>1.59</v>
          </cell>
          <cell r="K851" t="str">
            <v>Medium</v>
          </cell>
          <cell r="AB851">
            <v>2</v>
          </cell>
        </row>
        <row r="852">
          <cell r="B852" t="str">
            <v>Madhan Raj</v>
          </cell>
          <cell r="I852" t="str">
            <v>Wrong</v>
          </cell>
          <cell r="J852">
            <v>2</v>
          </cell>
          <cell r="K852" t="str">
            <v>Medium</v>
          </cell>
          <cell r="AB852">
            <v>0</v>
          </cell>
        </row>
        <row r="853">
          <cell r="B853" t="str">
            <v>Madhan Raj</v>
          </cell>
          <cell r="I853" t="str">
            <v>Wrong</v>
          </cell>
          <cell r="J853">
            <v>2.2599999999999998</v>
          </cell>
          <cell r="K853" t="str">
            <v>Medium</v>
          </cell>
          <cell r="AB853">
            <v>0</v>
          </cell>
        </row>
        <row r="854">
          <cell r="B854" t="str">
            <v>Madhan Raj</v>
          </cell>
          <cell r="I854" t="str">
            <v>Wrong</v>
          </cell>
          <cell r="J854">
            <v>1.87</v>
          </cell>
          <cell r="K854" t="str">
            <v>Medium</v>
          </cell>
          <cell r="AB854">
            <v>0</v>
          </cell>
        </row>
        <row r="855">
          <cell r="B855" t="str">
            <v>Madhan Raj</v>
          </cell>
          <cell r="I855" t="str">
            <v>Correct</v>
          </cell>
          <cell r="J855">
            <v>1.33</v>
          </cell>
          <cell r="K855" t="str">
            <v>Medium</v>
          </cell>
          <cell r="AB855">
            <v>2</v>
          </cell>
        </row>
        <row r="856">
          <cell r="B856" t="str">
            <v>Madhan Raj</v>
          </cell>
          <cell r="I856" t="str">
            <v>Wrong</v>
          </cell>
          <cell r="J856">
            <v>2.17</v>
          </cell>
          <cell r="K856" t="str">
            <v>Medium</v>
          </cell>
          <cell r="AB856">
            <v>0</v>
          </cell>
        </row>
        <row r="857">
          <cell r="B857" t="str">
            <v>Madhan Raj</v>
          </cell>
          <cell r="I857" t="str">
            <v>Wrong</v>
          </cell>
          <cell r="J857">
            <v>2.15</v>
          </cell>
          <cell r="K857" t="str">
            <v>High</v>
          </cell>
          <cell r="AB857">
            <v>0</v>
          </cell>
        </row>
        <row r="858">
          <cell r="B858" t="str">
            <v>Madhan Raj</v>
          </cell>
          <cell r="I858" t="str">
            <v>Wrong</v>
          </cell>
          <cell r="J858">
            <v>2.23</v>
          </cell>
          <cell r="K858" t="str">
            <v>High</v>
          </cell>
          <cell r="AB858">
            <v>0</v>
          </cell>
        </row>
        <row r="859">
          <cell r="B859" t="str">
            <v>Madhan Raj</v>
          </cell>
          <cell r="I859" t="str">
            <v>Wrong</v>
          </cell>
          <cell r="J859">
            <v>1.78</v>
          </cell>
          <cell r="K859" t="str">
            <v>High</v>
          </cell>
          <cell r="AB859">
            <v>0</v>
          </cell>
        </row>
        <row r="860">
          <cell r="B860" t="str">
            <v>Madhan Raj</v>
          </cell>
          <cell r="I860" t="str">
            <v>Correct</v>
          </cell>
          <cell r="J860">
            <v>1.28</v>
          </cell>
          <cell r="K860" t="str">
            <v>High</v>
          </cell>
          <cell r="AB860">
            <v>3</v>
          </cell>
        </row>
        <row r="861">
          <cell r="B861" t="str">
            <v>Madhan Raj</v>
          </cell>
          <cell r="I861" t="str">
            <v>Wrong</v>
          </cell>
          <cell r="J861">
            <v>2.21</v>
          </cell>
          <cell r="K861" t="str">
            <v>High</v>
          </cell>
          <cell r="AB861">
            <v>0</v>
          </cell>
        </row>
        <row r="862">
          <cell r="B862" t="str">
            <v>Nandhini K</v>
          </cell>
          <cell r="I862" t="str">
            <v>Correct</v>
          </cell>
          <cell r="J862">
            <v>1.4</v>
          </cell>
          <cell r="K862" t="str">
            <v>Low</v>
          </cell>
          <cell r="AB862">
            <v>2</v>
          </cell>
        </row>
        <row r="863">
          <cell r="B863" t="str">
            <v>Nandhini K</v>
          </cell>
          <cell r="I863" t="str">
            <v>Correct</v>
          </cell>
          <cell r="J863">
            <v>0.93</v>
          </cell>
          <cell r="K863" t="str">
            <v>Low</v>
          </cell>
          <cell r="AB863">
            <v>1</v>
          </cell>
        </row>
        <row r="864">
          <cell r="B864" t="str">
            <v>Nandhini K</v>
          </cell>
          <cell r="I864" t="str">
            <v>Wrong</v>
          </cell>
          <cell r="J864">
            <v>0.95</v>
          </cell>
          <cell r="K864" t="str">
            <v>Low</v>
          </cell>
          <cell r="AB864">
            <v>0</v>
          </cell>
        </row>
        <row r="865">
          <cell r="B865" t="str">
            <v>Nandhini K</v>
          </cell>
          <cell r="I865" t="str">
            <v>Correct</v>
          </cell>
          <cell r="J865">
            <v>1.8</v>
          </cell>
          <cell r="K865" t="str">
            <v>Low</v>
          </cell>
          <cell r="AB865">
            <v>0.83</v>
          </cell>
        </row>
        <row r="866">
          <cell r="B866" t="str">
            <v>Nandhini K</v>
          </cell>
          <cell r="I866" t="str">
            <v>Correct</v>
          </cell>
          <cell r="J866">
            <v>1.41</v>
          </cell>
          <cell r="K866" t="str">
            <v>Low</v>
          </cell>
          <cell r="AB866">
            <v>1</v>
          </cell>
        </row>
        <row r="867">
          <cell r="B867" t="str">
            <v>Nandhini K</v>
          </cell>
          <cell r="I867" t="str">
            <v>Correct</v>
          </cell>
          <cell r="J867">
            <v>1.97</v>
          </cell>
          <cell r="K867" t="str">
            <v>Low</v>
          </cell>
          <cell r="AB867">
            <v>1.52</v>
          </cell>
        </row>
        <row r="868">
          <cell r="B868" t="str">
            <v>Nandhini K</v>
          </cell>
          <cell r="I868" t="str">
            <v>Correct</v>
          </cell>
          <cell r="J868">
            <v>1.78</v>
          </cell>
          <cell r="K868" t="str">
            <v>Low</v>
          </cell>
          <cell r="AB868">
            <v>0.84</v>
          </cell>
        </row>
        <row r="869">
          <cell r="B869" t="str">
            <v>Nandhini K</v>
          </cell>
          <cell r="I869" t="str">
            <v>Correct</v>
          </cell>
          <cell r="J869">
            <v>1.66</v>
          </cell>
          <cell r="K869" t="str">
            <v>Low</v>
          </cell>
          <cell r="AB869">
            <v>1.81</v>
          </cell>
        </row>
        <row r="870">
          <cell r="B870" t="str">
            <v>Nandhini K</v>
          </cell>
          <cell r="I870" t="str">
            <v>Correct</v>
          </cell>
          <cell r="J870">
            <v>1.29</v>
          </cell>
          <cell r="K870" t="str">
            <v>Low</v>
          </cell>
          <cell r="AB870">
            <v>2</v>
          </cell>
        </row>
        <row r="871">
          <cell r="B871" t="str">
            <v>Nandhini K</v>
          </cell>
          <cell r="I871" t="str">
            <v>Wrong</v>
          </cell>
          <cell r="J871">
            <v>1.2</v>
          </cell>
          <cell r="K871" t="str">
            <v>Medium</v>
          </cell>
          <cell r="AB871">
            <v>0</v>
          </cell>
        </row>
        <row r="872">
          <cell r="B872" t="str">
            <v>Nandhini K</v>
          </cell>
          <cell r="I872" t="str">
            <v>Correct</v>
          </cell>
          <cell r="J872">
            <v>1.23</v>
          </cell>
          <cell r="K872" t="str">
            <v>Medium</v>
          </cell>
          <cell r="AB872">
            <v>2</v>
          </cell>
        </row>
        <row r="873">
          <cell r="B873" t="str">
            <v>Nandhini K</v>
          </cell>
          <cell r="I873" t="str">
            <v>Correct</v>
          </cell>
          <cell r="J873">
            <v>2.23</v>
          </cell>
          <cell r="K873" t="str">
            <v>Medium</v>
          </cell>
          <cell r="AB873">
            <v>1.61</v>
          </cell>
        </row>
        <row r="874">
          <cell r="B874" t="str">
            <v>Nandhini K</v>
          </cell>
          <cell r="I874" t="str">
            <v>Wrong</v>
          </cell>
          <cell r="J874">
            <v>1.8</v>
          </cell>
          <cell r="K874" t="str">
            <v>Medium</v>
          </cell>
          <cell r="AB874">
            <v>0</v>
          </cell>
        </row>
        <row r="875">
          <cell r="B875" t="str">
            <v>Nandhini K</v>
          </cell>
          <cell r="I875" t="str">
            <v>Correct</v>
          </cell>
          <cell r="J875">
            <v>1.79</v>
          </cell>
          <cell r="K875" t="str">
            <v>Medium</v>
          </cell>
          <cell r="AB875">
            <v>2</v>
          </cell>
        </row>
        <row r="876">
          <cell r="B876" t="str">
            <v>Nandhini K</v>
          </cell>
          <cell r="I876" t="str">
            <v>Correct</v>
          </cell>
          <cell r="J876">
            <v>2.2000000000000002</v>
          </cell>
          <cell r="K876" t="str">
            <v>Medium</v>
          </cell>
          <cell r="AB876">
            <v>1.64</v>
          </cell>
        </row>
        <row r="877">
          <cell r="B877" t="str">
            <v>Nandhini K</v>
          </cell>
          <cell r="I877" t="str">
            <v>Correct</v>
          </cell>
          <cell r="J877">
            <v>1.5</v>
          </cell>
          <cell r="K877" t="str">
            <v>High</v>
          </cell>
          <cell r="AB877">
            <v>3</v>
          </cell>
        </row>
        <row r="878">
          <cell r="B878" t="str">
            <v>Nandhini K</v>
          </cell>
          <cell r="I878" t="str">
            <v>Correct</v>
          </cell>
          <cell r="J878">
            <v>2.23</v>
          </cell>
          <cell r="K878" t="str">
            <v>High</v>
          </cell>
          <cell r="AB878">
            <v>2.69</v>
          </cell>
        </row>
        <row r="879">
          <cell r="B879" t="str">
            <v>Nandhini K</v>
          </cell>
          <cell r="I879" t="str">
            <v>Correct</v>
          </cell>
          <cell r="J879">
            <v>1.94</v>
          </cell>
          <cell r="K879" t="str">
            <v>High</v>
          </cell>
          <cell r="AB879">
            <v>3</v>
          </cell>
        </row>
        <row r="880">
          <cell r="B880" t="str">
            <v>Nandhini K</v>
          </cell>
          <cell r="I880" t="str">
            <v>Correct</v>
          </cell>
          <cell r="J880">
            <v>1.4</v>
          </cell>
          <cell r="K880" t="str">
            <v>High</v>
          </cell>
          <cell r="AB880">
            <v>3</v>
          </cell>
        </row>
        <row r="881">
          <cell r="B881" t="str">
            <v>Nandhini K</v>
          </cell>
          <cell r="I881" t="str">
            <v>Wrong</v>
          </cell>
          <cell r="J881">
            <v>2.54</v>
          </cell>
          <cell r="K881" t="str">
            <v>High</v>
          </cell>
          <cell r="AB881">
            <v>0</v>
          </cell>
        </row>
        <row r="882">
          <cell r="B882" t="str">
            <v>Om Prakash</v>
          </cell>
          <cell r="I882" t="str">
            <v>Correct</v>
          </cell>
          <cell r="J882">
            <v>1.98</v>
          </cell>
          <cell r="K882" t="str">
            <v>Low</v>
          </cell>
          <cell r="AB882">
            <v>1.52</v>
          </cell>
        </row>
        <row r="883">
          <cell r="B883" t="str">
            <v>Om Prakash</v>
          </cell>
          <cell r="I883" t="str">
            <v>Correct</v>
          </cell>
          <cell r="J883">
            <v>1.74</v>
          </cell>
          <cell r="K883" t="str">
            <v>Low</v>
          </cell>
          <cell r="AB883">
            <v>0.86</v>
          </cell>
        </row>
        <row r="884">
          <cell r="B884" t="str">
            <v>Om Prakash</v>
          </cell>
          <cell r="I884" t="str">
            <v>Wrong</v>
          </cell>
          <cell r="J884">
            <v>1.88</v>
          </cell>
          <cell r="K884" t="str">
            <v>Low</v>
          </cell>
          <cell r="AB884">
            <v>0</v>
          </cell>
        </row>
        <row r="885">
          <cell r="B885" t="str">
            <v>Om Prakash</v>
          </cell>
          <cell r="I885" t="str">
            <v>Correct</v>
          </cell>
          <cell r="J885">
            <v>1.44</v>
          </cell>
          <cell r="K885" t="str">
            <v>Low</v>
          </cell>
          <cell r="AB885">
            <v>1</v>
          </cell>
        </row>
        <row r="886">
          <cell r="B886" t="str">
            <v>Om Prakash</v>
          </cell>
          <cell r="I886" t="str">
            <v>Correct</v>
          </cell>
          <cell r="J886">
            <v>1.03</v>
          </cell>
          <cell r="K886" t="str">
            <v>Low</v>
          </cell>
          <cell r="AB886">
            <v>1</v>
          </cell>
        </row>
        <row r="887">
          <cell r="B887" t="str">
            <v>Om Prakash</v>
          </cell>
          <cell r="I887" t="str">
            <v>Correct</v>
          </cell>
          <cell r="J887">
            <v>1.0900000000000001</v>
          </cell>
          <cell r="K887" t="str">
            <v>Low</v>
          </cell>
          <cell r="AB887">
            <v>2</v>
          </cell>
        </row>
        <row r="888">
          <cell r="B888" t="str">
            <v>Om Prakash</v>
          </cell>
          <cell r="I888" t="str">
            <v>Correct</v>
          </cell>
          <cell r="J888">
            <v>1.39</v>
          </cell>
          <cell r="K888" t="str">
            <v>Low</v>
          </cell>
          <cell r="AB888">
            <v>1</v>
          </cell>
        </row>
        <row r="889">
          <cell r="B889" t="str">
            <v>Om Prakash</v>
          </cell>
          <cell r="I889" t="str">
            <v>Correct</v>
          </cell>
          <cell r="J889">
            <v>1.18</v>
          </cell>
          <cell r="K889" t="str">
            <v>Low</v>
          </cell>
          <cell r="AB889">
            <v>2</v>
          </cell>
        </row>
        <row r="890">
          <cell r="B890" t="str">
            <v>Om Prakash</v>
          </cell>
          <cell r="I890" t="str">
            <v>Correct</v>
          </cell>
          <cell r="J890">
            <v>1.85</v>
          </cell>
          <cell r="K890" t="str">
            <v>Low</v>
          </cell>
          <cell r="AB890">
            <v>1.62</v>
          </cell>
        </row>
        <row r="891">
          <cell r="B891" t="str">
            <v>Om Prakash</v>
          </cell>
          <cell r="I891" t="str">
            <v>Wrong</v>
          </cell>
          <cell r="J891">
            <v>1.45</v>
          </cell>
          <cell r="K891" t="str">
            <v>Medium</v>
          </cell>
          <cell r="AB891">
            <v>0</v>
          </cell>
        </row>
        <row r="892">
          <cell r="B892" t="str">
            <v>Om Prakash</v>
          </cell>
          <cell r="I892" t="str">
            <v>Wrong</v>
          </cell>
          <cell r="J892">
            <v>1.79</v>
          </cell>
          <cell r="K892" t="str">
            <v>Medium</v>
          </cell>
          <cell r="AB892">
            <v>0</v>
          </cell>
        </row>
        <row r="893">
          <cell r="B893" t="str">
            <v>Om Prakash</v>
          </cell>
          <cell r="I893" t="str">
            <v>Wrong</v>
          </cell>
          <cell r="J893">
            <v>1.43</v>
          </cell>
          <cell r="K893" t="str">
            <v>Medium</v>
          </cell>
          <cell r="AB893">
            <v>0</v>
          </cell>
        </row>
        <row r="894">
          <cell r="B894" t="str">
            <v>Om Prakash</v>
          </cell>
          <cell r="I894" t="str">
            <v>Correct</v>
          </cell>
          <cell r="J894">
            <v>1.72</v>
          </cell>
          <cell r="K894" t="str">
            <v>Medium</v>
          </cell>
          <cell r="AB894">
            <v>2</v>
          </cell>
        </row>
        <row r="895">
          <cell r="B895" t="str">
            <v>Om Prakash</v>
          </cell>
          <cell r="I895" t="str">
            <v>Correct</v>
          </cell>
          <cell r="J895">
            <v>1.47</v>
          </cell>
          <cell r="K895" t="str">
            <v>Medium</v>
          </cell>
          <cell r="AB895">
            <v>2</v>
          </cell>
        </row>
        <row r="896">
          <cell r="B896" t="str">
            <v>Om Prakash</v>
          </cell>
          <cell r="I896" t="str">
            <v>Correct</v>
          </cell>
          <cell r="J896">
            <v>2.2200000000000002</v>
          </cell>
          <cell r="K896" t="str">
            <v>Medium</v>
          </cell>
          <cell r="AB896">
            <v>1.62</v>
          </cell>
        </row>
        <row r="897">
          <cell r="B897" t="str">
            <v>Om Prakash</v>
          </cell>
          <cell r="I897" t="str">
            <v>Correct</v>
          </cell>
          <cell r="J897">
            <v>2.36</v>
          </cell>
          <cell r="K897" t="str">
            <v>High</v>
          </cell>
          <cell r="AB897">
            <v>2.54</v>
          </cell>
        </row>
        <row r="898">
          <cell r="B898" t="str">
            <v>Om Prakash</v>
          </cell>
          <cell r="I898" t="str">
            <v>Correct</v>
          </cell>
          <cell r="J898">
            <v>2.36</v>
          </cell>
          <cell r="K898" t="str">
            <v>High</v>
          </cell>
          <cell r="AB898">
            <v>2.54</v>
          </cell>
        </row>
        <row r="899">
          <cell r="B899" t="str">
            <v>Om Prakash</v>
          </cell>
          <cell r="I899" t="str">
            <v>Wrong</v>
          </cell>
          <cell r="J899">
            <v>2.36</v>
          </cell>
          <cell r="K899" t="str">
            <v>High</v>
          </cell>
          <cell r="AB899">
            <v>0</v>
          </cell>
        </row>
        <row r="900">
          <cell r="B900" t="str">
            <v>Om Prakash</v>
          </cell>
          <cell r="I900" t="str">
            <v>Correct</v>
          </cell>
          <cell r="J900">
            <v>1.48</v>
          </cell>
          <cell r="K900" t="str">
            <v>High</v>
          </cell>
          <cell r="AB900">
            <v>3</v>
          </cell>
        </row>
        <row r="901">
          <cell r="B901" t="str">
            <v>Om Prakash</v>
          </cell>
          <cell r="I901" t="str">
            <v>Correct</v>
          </cell>
          <cell r="J901">
            <v>2.0099999999999998</v>
          </cell>
          <cell r="K901" t="str">
            <v>High</v>
          </cell>
          <cell r="AB901">
            <v>2.99</v>
          </cell>
        </row>
        <row r="902">
          <cell r="B902" t="str">
            <v>Pavithra S</v>
          </cell>
          <cell r="I902" t="str">
            <v>Wrong</v>
          </cell>
          <cell r="J902">
            <v>1.68</v>
          </cell>
          <cell r="K902" t="str">
            <v>Low</v>
          </cell>
          <cell r="AB902">
            <v>0</v>
          </cell>
        </row>
        <row r="903">
          <cell r="B903" t="str">
            <v>Pavithra S</v>
          </cell>
          <cell r="I903" t="str">
            <v>Correct</v>
          </cell>
          <cell r="J903">
            <v>1.6</v>
          </cell>
          <cell r="K903" t="str">
            <v>Low</v>
          </cell>
          <cell r="AB903">
            <v>0.94</v>
          </cell>
        </row>
        <row r="904">
          <cell r="B904" t="str">
            <v>Pavithra S</v>
          </cell>
          <cell r="I904" t="str">
            <v>Correct</v>
          </cell>
          <cell r="J904">
            <v>1.33</v>
          </cell>
          <cell r="K904" t="str">
            <v>Low</v>
          </cell>
          <cell r="AB904">
            <v>2</v>
          </cell>
        </row>
        <row r="905">
          <cell r="B905" t="str">
            <v>Pavithra S</v>
          </cell>
          <cell r="I905" t="str">
            <v>Correct</v>
          </cell>
          <cell r="J905">
            <v>1.88</v>
          </cell>
          <cell r="K905" t="str">
            <v>Low</v>
          </cell>
          <cell r="AB905">
            <v>0.8</v>
          </cell>
        </row>
        <row r="906">
          <cell r="B906" t="str">
            <v>Pavithra S</v>
          </cell>
          <cell r="I906" t="str">
            <v>Correct</v>
          </cell>
          <cell r="J906">
            <v>0.99</v>
          </cell>
          <cell r="K906" t="str">
            <v>Low</v>
          </cell>
          <cell r="AB906">
            <v>1</v>
          </cell>
        </row>
        <row r="907">
          <cell r="B907" t="str">
            <v>Pavithra S</v>
          </cell>
          <cell r="I907" t="str">
            <v>Wrong</v>
          </cell>
          <cell r="J907">
            <v>1.65</v>
          </cell>
          <cell r="K907" t="str">
            <v>Low</v>
          </cell>
          <cell r="AB907">
            <v>0</v>
          </cell>
        </row>
        <row r="908">
          <cell r="B908" t="str">
            <v>Pavithra S</v>
          </cell>
          <cell r="I908" t="str">
            <v>Correct</v>
          </cell>
          <cell r="J908">
            <v>1.87</v>
          </cell>
          <cell r="K908" t="str">
            <v>Low</v>
          </cell>
          <cell r="AB908">
            <v>0.8</v>
          </cell>
        </row>
        <row r="909">
          <cell r="B909" t="str">
            <v>Pavithra S</v>
          </cell>
          <cell r="I909" t="str">
            <v>Correct</v>
          </cell>
          <cell r="J909">
            <v>1.33</v>
          </cell>
          <cell r="K909" t="str">
            <v>Low</v>
          </cell>
          <cell r="AB909">
            <v>2</v>
          </cell>
        </row>
        <row r="910">
          <cell r="B910" t="str">
            <v>Pavithra S</v>
          </cell>
          <cell r="I910" t="str">
            <v>Correct</v>
          </cell>
          <cell r="J910">
            <v>1.33</v>
          </cell>
          <cell r="K910" t="str">
            <v>Low</v>
          </cell>
          <cell r="AB910">
            <v>2</v>
          </cell>
        </row>
        <row r="911">
          <cell r="B911" t="str">
            <v>Pavithra S</v>
          </cell>
          <cell r="I911" t="str">
            <v>Correct</v>
          </cell>
          <cell r="J911">
            <v>2.08</v>
          </cell>
          <cell r="K911" t="str">
            <v>Medium</v>
          </cell>
          <cell r="AB911">
            <v>1.73</v>
          </cell>
        </row>
        <row r="912">
          <cell r="B912" t="str">
            <v>Pavithra S</v>
          </cell>
          <cell r="I912" t="str">
            <v>Wrong</v>
          </cell>
          <cell r="J912">
            <v>1.75</v>
          </cell>
          <cell r="K912" t="str">
            <v>Medium</v>
          </cell>
          <cell r="AB912">
            <v>0</v>
          </cell>
        </row>
        <row r="913">
          <cell r="B913" t="str">
            <v>Pavithra S</v>
          </cell>
          <cell r="I913" t="str">
            <v>Correct</v>
          </cell>
          <cell r="J913">
            <v>1.53</v>
          </cell>
          <cell r="K913" t="str">
            <v>Medium</v>
          </cell>
          <cell r="AB913">
            <v>2</v>
          </cell>
        </row>
        <row r="914">
          <cell r="B914" t="str">
            <v>Pavithra S</v>
          </cell>
          <cell r="I914" t="str">
            <v>Correct</v>
          </cell>
          <cell r="J914">
            <v>2.2200000000000002</v>
          </cell>
          <cell r="K914" t="str">
            <v>Medium</v>
          </cell>
          <cell r="AB914">
            <v>1.62</v>
          </cell>
        </row>
        <row r="915">
          <cell r="B915" t="str">
            <v>Pavithra S</v>
          </cell>
          <cell r="I915" t="str">
            <v>Correct</v>
          </cell>
          <cell r="J915">
            <v>1.83</v>
          </cell>
          <cell r="K915" t="str">
            <v>Medium</v>
          </cell>
          <cell r="AB915">
            <v>1.97</v>
          </cell>
        </row>
        <row r="916">
          <cell r="B916" t="str">
            <v>Pavithra S</v>
          </cell>
          <cell r="I916" t="str">
            <v>Wrong</v>
          </cell>
          <cell r="J916">
            <v>1.31</v>
          </cell>
          <cell r="K916" t="str">
            <v>Medium</v>
          </cell>
          <cell r="AB916">
            <v>0</v>
          </cell>
        </row>
        <row r="917">
          <cell r="B917" t="str">
            <v>Pavithra S</v>
          </cell>
          <cell r="I917" t="str">
            <v>Correct</v>
          </cell>
          <cell r="J917">
            <v>2.33</v>
          </cell>
          <cell r="K917" t="str">
            <v>High</v>
          </cell>
          <cell r="AB917">
            <v>2.57</v>
          </cell>
        </row>
        <row r="918">
          <cell r="B918" t="str">
            <v>Pavithra S</v>
          </cell>
          <cell r="I918" t="str">
            <v>Wrong</v>
          </cell>
          <cell r="J918">
            <v>2.59</v>
          </cell>
          <cell r="K918" t="str">
            <v>High</v>
          </cell>
          <cell r="AB918">
            <v>0</v>
          </cell>
        </row>
        <row r="919">
          <cell r="B919" t="str">
            <v>Pavithra S</v>
          </cell>
          <cell r="I919" t="str">
            <v>Correct</v>
          </cell>
          <cell r="J919">
            <v>1.71</v>
          </cell>
          <cell r="K919" t="str">
            <v>High</v>
          </cell>
          <cell r="AB919">
            <v>3</v>
          </cell>
        </row>
        <row r="920">
          <cell r="B920" t="str">
            <v>Pavithra S</v>
          </cell>
          <cell r="I920" t="str">
            <v>Wrong</v>
          </cell>
          <cell r="J920">
            <v>2.38</v>
          </cell>
          <cell r="K920" t="str">
            <v>High</v>
          </cell>
          <cell r="AB920">
            <v>0</v>
          </cell>
        </row>
        <row r="921">
          <cell r="B921" t="str">
            <v>Pavithra S</v>
          </cell>
          <cell r="I921" t="str">
            <v>Correct</v>
          </cell>
          <cell r="J921">
            <v>1.76</v>
          </cell>
          <cell r="K921" t="str">
            <v>High</v>
          </cell>
          <cell r="AB921">
            <v>3</v>
          </cell>
        </row>
        <row r="922">
          <cell r="B922" t="str">
            <v>Qadir Ali</v>
          </cell>
          <cell r="I922" t="str">
            <v>Correct</v>
          </cell>
          <cell r="J922">
            <v>1.06</v>
          </cell>
          <cell r="K922" t="str">
            <v>Low</v>
          </cell>
          <cell r="AB922">
            <v>2</v>
          </cell>
        </row>
        <row r="923">
          <cell r="B923" t="str">
            <v>Qadir Ali</v>
          </cell>
          <cell r="I923" t="str">
            <v>Wrong</v>
          </cell>
          <cell r="J923">
            <v>1.28</v>
          </cell>
          <cell r="K923" t="str">
            <v>Low</v>
          </cell>
          <cell r="AB923">
            <v>0</v>
          </cell>
        </row>
        <row r="924">
          <cell r="B924" t="str">
            <v>Qadir Ali</v>
          </cell>
          <cell r="I924" t="str">
            <v>Correct</v>
          </cell>
          <cell r="J924">
            <v>1.57</v>
          </cell>
          <cell r="K924" t="str">
            <v>Low</v>
          </cell>
          <cell r="AB924">
            <v>1.91</v>
          </cell>
        </row>
        <row r="925">
          <cell r="B925" t="str">
            <v>Qadir Ali</v>
          </cell>
          <cell r="I925" t="str">
            <v>Correct</v>
          </cell>
          <cell r="J925">
            <v>0.94</v>
          </cell>
          <cell r="K925" t="str">
            <v>Low</v>
          </cell>
          <cell r="AB925">
            <v>1</v>
          </cell>
        </row>
        <row r="926">
          <cell r="B926" t="str">
            <v>Qadir Ali</v>
          </cell>
          <cell r="I926" t="str">
            <v>Correct</v>
          </cell>
          <cell r="J926">
            <v>1.55</v>
          </cell>
          <cell r="K926" t="str">
            <v>Low</v>
          </cell>
          <cell r="AB926">
            <v>0.97</v>
          </cell>
        </row>
        <row r="927">
          <cell r="B927" t="str">
            <v>Qadir Ali</v>
          </cell>
          <cell r="I927" t="str">
            <v>Wrong</v>
          </cell>
          <cell r="J927">
            <v>1.1399999999999999</v>
          </cell>
          <cell r="K927" t="str">
            <v>Low</v>
          </cell>
          <cell r="AB927">
            <v>0</v>
          </cell>
        </row>
        <row r="928">
          <cell r="B928" t="str">
            <v>Qadir Ali</v>
          </cell>
          <cell r="I928" t="str">
            <v>Correct</v>
          </cell>
          <cell r="J928">
            <v>1.45</v>
          </cell>
          <cell r="K928" t="str">
            <v>Low</v>
          </cell>
          <cell r="AB928">
            <v>1</v>
          </cell>
        </row>
        <row r="929">
          <cell r="B929" t="str">
            <v>Qadir Ali</v>
          </cell>
          <cell r="I929" t="str">
            <v>Correct</v>
          </cell>
          <cell r="J929">
            <v>1.19</v>
          </cell>
          <cell r="K929" t="str">
            <v>Low</v>
          </cell>
          <cell r="AB929">
            <v>2</v>
          </cell>
        </row>
        <row r="930">
          <cell r="B930" t="str">
            <v>Qadir Ali</v>
          </cell>
          <cell r="I930" t="str">
            <v>Correct</v>
          </cell>
          <cell r="J930">
            <v>0.9</v>
          </cell>
          <cell r="K930" t="str">
            <v>Low</v>
          </cell>
          <cell r="AB930">
            <v>2</v>
          </cell>
        </row>
        <row r="931">
          <cell r="B931" t="str">
            <v>Qadir Ali</v>
          </cell>
          <cell r="I931" t="str">
            <v>Correct</v>
          </cell>
          <cell r="J931">
            <v>2.29</v>
          </cell>
          <cell r="K931" t="str">
            <v>Medium</v>
          </cell>
          <cell r="AB931">
            <v>1.57</v>
          </cell>
        </row>
        <row r="932">
          <cell r="B932" t="str">
            <v>Qadir Ali</v>
          </cell>
          <cell r="I932" t="str">
            <v>Correct</v>
          </cell>
          <cell r="J932">
            <v>2.11</v>
          </cell>
          <cell r="K932" t="str">
            <v>Medium</v>
          </cell>
          <cell r="AB932">
            <v>1.71</v>
          </cell>
        </row>
        <row r="933">
          <cell r="B933" t="str">
            <v>Qadir Ali</v>
          </cell>
          <cell r="I933" t="str">
            <v>Correct</v>
          </cell>
          <cell r="J933">
            <v>1.81</v>
          </cell>
          <cell r="K933" t="str">
            <v>Medium</v>
          </cell>
          <cell r="AB933">
            <v>1.99</v>
          </cell>
        </row>
        <row r="934">
          <cell r="B934" t="str">
            <v>Qadir Ali</v>
          </cell>
          <cell r="I934" t="str">
            <v>Wrong</v>
          </cell>
          <cell r="J934">
            <v>1.93</v>
          </cell>
          <cell r="K934" t="str">
            <v>Medium</v>
          </cell>
          <cell r="AB934">
            <v>0</v>
          </cell>
        </row>
        <row r="935">
          <cell r="B935" t="str">
            <v>Qadir Ali</v>
          </cell>
          <cell r="I935" t="str">
            <v>Wrong</v>
          </cell>
          <cell r="J935">
            <v>2.19</v>
          </cell>
          <cell r="K935" t="str">
            <v>Medium</v>
          </cell>
          <cell r="AB935">
            <v>0</v>
          </cell>
        </row>
        <row r="936">
          <cell r="B936" t="str">
            <v>Qadir Ali</v>
          </cell>
          <cell r="I936" t="str">
            <v>Correct</v>
          </cell>
          <cell r="J936">
            <v>1.25</v>
          </cell>
          <cell r="K936" t="str">
            <v>Medium</v>
          </cell>
          <cell r="AB936">
            <v>2</v>
          </cell>
        </row>
        <row r="937">
          <cell r="B937" t="str">
            <v>Qadir Ali</v>
          </cell>
          <cell r="I937" t="str">
            <v>Correct</v>
          </cell>
          <cell r="J937">
            <v>2.33</v>
          </cell>
          <cell r="K937" t="str">
            <v>High</v>
          </cell>
          <cell r="AB937">
            <v>2.57</v>
          </cell>
        </row>
        <row r="938">
          <cell r="B938" t="str">
            <v>Qadir Ali</v>
          </cell>
          <cell r="I938" t="str">
            <v>Wrong</v>
          </cell>
          <cell r="J938">
            <v>1.66</v>
          </cell>
          <cell r="K938" t="str">
            <v>High</v>
          </cell>
          <cell r="AB938">
            <v>0</v>
          </cell>
        </row>
        <row r="939">
          <cell r="B939" t="str">
            <v>Qadir Ali</v>
          </cell>
          <cell r="I939" t="str">
            <v>Wrong</v>
          </cell>
          <cell r="J939">
            <v>1.64</v>
          </cell>
          <cell r="K939" t="str">
            <v>High</v>
          </cell>
          <cell r="AB939">
            <v>0</v>
          </cell>
        </row>
        <row r="940">
          <cell r="B940" t="str">
            <v>Qadir Ali</v>
          </cell>
          <cell r="I940" t="str">
            <v>Correct</v>
          </cell>
          <cell r="J940">
            <v>2.37</v>
          </cell>
          <cell r="K940" t="str">
            <v>High</v>
          </cell>
          <cell r="AB940">
            <v>2.5299999999999998</v>
          </cell>
        </row>
        <row r="941">
          <cell r="B941" t="str">
            <v>Qadir Ali</v>
          </cell>
          <cell r="I941" t="str">
            <v>Wrong</v>
          </cell>
          <cell r="J941">
            <v>1.6</v>
          </cell>
          <cell r="K941" t="str">
            <v>High</v>
          </cell>
          <cell r="AB941">
            <v>0</v>
          </cell>
        </row>
        <row r="942">
          <cell r="B942" t="str">
            <v>Rakshan M</v>
          </cell>
          <cell r="I942" t="str">
            <v>Correct</v>
          </cell>
          <cell r="J942">
            <v>1.39</v>
          </cell>
          <cell r="K942" t="str">
            <v>Low</v>
          </cell>
          <cell r="AB942">
            <v>2</v>
          </cell>
        </row>
        <row r="943">
          <cell r="B943" t="str">
            <v>Rakshan M</v>
          </cell>
          <cell r="I943" t="str">
            <v>Correct</v>
          </cell>
          <cell r="J943">
            <v>0.91</v>
          </cell>
          <cell r="K943" t="str">
            <v>Low</v>
          </cell>
          <cell r="AB943">
            <v>1</v>
          </cell>
        </row>
        <row r="944">
          <cell r="B944" t="str">
            <v>Rakshan M</v>
          </cell>
          <cell r="I944" t="str">
            <v>Correct</v>
          </cell>
          <cell r="J944">
            <v>1.17</v>
          </cell>
          <cell r="K944" t="str">
            <v>Low</v>
          </cell>
          <cell r="AB944">
            <v>2</v>
          </cell>
        </row>
        <row r="945">
          <cell r="B945" t="str">
            <v>Rakshan M</v>
          </cell>
          <cell r="I945" t="str">
            <v>Wrong</v>
          </cell>
          <cell r="J945">
            <v>1.06</v>
          </cell>
          <cell r="K945" t="str">
            <v>Low</v>
          </cell>
          <cell r="AB945">
            <v>0</v>
          </cell>
        </row>
        <row r="946">
          <cell r="B946" t="str">
            <v>Rakshan M</v>
          </cell>
          <cell r="I946" t="str">
            <v>Correct</v>
          </cell>
          <cell r="J946">
            <v>1.9</v>
          </cell>
          <cell r="K946" t="str">
            <v>Low</v>
          </cell>
          <cell r="AB946">
            <v>0.79</v>
          </cell>
        </row>
        <row r="947">
          <cell r="B947" t="str">
            <v>Rakshan M</v>
          </cell>
          <cell r="I947" t="str">
            <v>Wrong</v>
          </cell>
          <cell r="J947">
            <v>0.91</v>
          </cell>
          <cell r="K947" t="str">
            <v>Low</v>
          </cell>
          <cell r="AB947">
            <v>0</v>
          </cell>
        </row>
        <row r="948">
          <cell r="B948" t="str">
            <v>Rakshan M</v>
          </cell>
          <cell r="I948" t="str">
            <v>Correct</v>
          </cell>
          <cell r="J948">
            <v>1.44</v>
          </cell>
          <cell r="K948" t="str">
            <v>Low</v>
          </cell>
          <cell r="AB948">
            <v>1</v>
          </cell>
        </row>
        <row r="949">
          <cell r="B949" t="str">
            <v>Rakshan M</v>
          </cell>
          <cell r="I949" t="str">
            <v>Correct</v>
          </cell>
          <cell r="J949">
            <v>1.74</v>
          </cell>
          <cell r="K949" t="str">
            <v>Low</v>
          </cell>
          <cell r="AB949">
            <v>1.72</v>
          </cell>
        </row>
        <row r="950">
          <cell r="B950" t="str">
            <v>Rakshan M</v>
          </cell>
          <cell r="I950" t="str">
            <v>Correct</v>
          </cell>
          <cell r="J950">
            <v>0.96</v>
          </cell>
          <cell r="K950" t="str">
            <v>Low</v>
          </cell>
          <cell r="AB950">
            <v>2</v>
          </cell>
        </row>
        <row r="951">
          <cell r="B951" t="str">
            <v>Rakshan M</v>
          </cell>
          <cell r="I951" t="str">
            <v>Wrong</v>
          </cell>
          <cell r="J951">
            <v>2.0099999999999998</v>
          </cell>
          <cell r="K951" t="str">
            <v>Medium</v>
          </cell>
          <cell r="AB951">
            <v>0</v>
          </cell>
        </row>
        <row r="952">
          <cell r="B952" t="str">
            <v>Rakshan M</v>
          </cell>
          <cell r="I952" t="str">
            <v>Wrong</v>
          </cell>
          <cell r="J952">
            <v>2.0699999999999998</v>
          </cell>
          <cell r="K952" t="str">
            <v>Medium</v>
          </cell>
          <cell r="AB952">
            <v>0</v>
          </cell>
        </row>
        <row r="953">
          <cell r="B953" t="str">
            <v>Rakshan M</v>
          </cell>
          <cell r="I953" t="str">
            <v>Correct</v>
          </cell>
          <cell r="J953">
            <v>1.77</v>
          </cell>
          <cell r="K953" t="str">
            <v>Medium</v>
          </cell>
          <cell r="AB953">
            <v>2</v>
          </cell>
        </row>
        <row r="954">
          <cell r="B954" t="str">
            <v>Rakshan M</v>
          </cell>
          <cell r="I954" t="str">
            <v>Wrong</v>
          </cell>
          <cell r="J954">
            <v>2.13</v>
          </cell>
          <cell r="K954" t="str">
            <v>Medium</v>
          </cell>
          <cell r="AB954">
            <v>0</v>
          </cell>
        </row>
        <row r="955">
          <cell r="B955" t="str">
            <v>Rakshan M</v>
          </cell>
          <cell r="I955" t="str">
            <v>Correct</v>
          </cell>
          <cell r="J955">
            <v>1.67</v>
          </cell>
          <cell r="K955" t="str">
            <v>Medium</v>
          </cell>
          <cell r="AB955">
            <v>2</v>
          </cell>
        </row>
        <row r="956">
          <cell r="B956" t="str">
            <v>Rakshan M</v>
          </cell>
          <cell r="I956" t="str">
            <v>Correct</v>
          </cell>
          <cell r="J956">
            <v>1.24</v>
          </cell>
          <cell r="K956" t="str">
            <v>Medium</v>
          </cell>
          <cell r="AB956">
            <v>2</v>
          </cell>
        </row>
        <row r="957">
          <cell r="B957" t="str">
            <v>Rakshan M</v>
          </cell>
          <cell r="I957" t="str">
            <v>Wrong</v>
          </cell>
          <cell r="J957">
            <v>1.53</v>
          </cell>
          <cell r="K957" t="str">
            <v>High</v>
          </cell>
          <cell r="AB957">
            <v>0</v>
          </cell>
        </row>
        <row r="958">
          <cell r="B958" t="str">
            <v>Rakshan M</v>
          </cell>
          <cell r="I958" t="str">
            <v>Correct</v>
          </cell>
          <cell r="J958">
            <v>2.33</v>
          </cell>
          <cell r="K958" t="str">
            <v>High</v>
          </cell>
          <cell r="AB958">
            <v>2.57</v>
          </cell>
        </row>
        <row r="959">
          <cell r="B959" t="str">
            <v>Rakshan M</v>
          </cell>
          <cell r="I959" t="str">
            <v>Correct</v>
          </cell>
          <cell r="J959">
            <v>2.33</v>
          </cell>
          <cell r="K959" t="str">
            <v>High</v>
          </cell>
          <cell r="AB959">
            <v>2.57</v>
          </cell>
        </row>
        <row r="960">
          <cell r="B960" t="str">
            <v>Rakshan M</v>
          </cell>
          <cell r="I960" t="str">
            <v>Wrong</v>
          </cell>
          <cell r="J960">
            <v>1.46</v>
          </cell>
          <cell r="K960" t="str">
            <v>High</v>
          </cell>
          <cell r="AB960">
            <v>0</v>
          </cell>
        </row>
        <row r="961">
          <cell r="B961" t="str">
            <v>Rakshan M</v>
          </cell>
          <cell r="I961" t="str">
            <v>Wrong</v>
          </cell>
          <cell r="J961">
            <v>1.86</v>
          </cell>
          <cell r="K961" t="str">
            <v>High</v>
          </cell>
          <cell r="AB961">
            <v>0</v>
          </cell>
        </row>
        <row r="962">
          <cell r="B962" t="str">
            <v>Sanjana Rao</v>
          </cell>
          <cell r="I962" t="str">
            <v>Correct</v>
          </cell>
          <cell r="J962">
            <v>1.07</v>
          </cell>
          <cell r="K962" t="str">
            <v>Low</v>
          </cell>
          <cell r="AB962">
            <v>2</v>
          </cell>
        </row>
        <row r="963">
          <cell r="B963" t="str">
            <v>Sanjana Rao</v>
          </cell>
          <cell r="I963" t="str">
            <v>Correct</v>
          </cell>
          <cell r="J963">
            <v>1</v>
          </cell>
          <cell r="K963" t="str">
            <v>Low</v>
          </cell>
          <cell r="AB963">
            <v>1</v>
          </cell>
        </row>
        <row r="964">
          <cell r="B964" t="str">
            <v>Sanjana Rao</v>
          </cell>
          <cell r="I964" t="str">
            <v>Correct</v>
          </cell>
          <cell r="J964">
            <v>1.65</v>
          </cell>
          <cell r="K964" t="str">
            <v>Low</v>
          </cell>
          <cell r="AB964">
            <v>1.82</v>
          </cell>
        </row>
        <row r="965">
          <cell r="B965" t="str">
            <v>Sanjana Rao</v>
          </cell>
          <cell r="I965" t="str">
            <v>Correct</v>
          </cell>
          <cell r="J965">
            <v>1.05</v>
          </cell>
          <cell r="K965" t="str">
            <v>Low</v>
          </cell>
          <cell r="AB965">
            <v>1</v>
          </cell>
        </row>
        <row r="966">
          <cell r="B966" t="str">
            <v>Sanjana Rao</v>
          </cell>
          <cell r="I966" t="str">
            <v>Correct</v>
          </cell>
          <cell r="J966">
            <v>1.27</v>
          </cell>
          <cell r="K966" t="str">
            <v>Low</v>
          </cell>
          <cell r="AB966">
            <v>1</v>
          </cell>
        </row>
        <row r="967">
          <cell r="B967" t="str">
            <v>Sanjana Rao</v>
          </cell>
          <cell r="I967" t="str">
            <v>Wrong</v>
          </cell>
          <cell r="J967">
            <v>1.96</v>
          </cell>
          <cell r="K967" t="str">
            <v>Low</v>
          </cell>
          <cell r="AB967">
            <v>0</v>
          </cell>
        </row>
        <row r="968">
          <cell r="B968" t="str">
            <v>Sanjana Rao</v>
          </cell>
          <cell r="I968" t="str">
            <v>Correct</v>
          </cell>
          <cell r="J968">
            <v>1.07</v>
          </cell>
          <cell r="K968" t="str">
            <v>Low</v>
          </cell>
          <cell r="AB968">
            <v>1</v>
          </cell>
        </row>
        <row r="969">
          <cell r="B969" t="str">
            <v>Sanjana Rao</v>
          </cell>
          <cell r="I969" t="str">
            <v>Correct</v>
          </cell>
          <cell r="J969">
            <v>0.98</v>
          </cell>
          <cell r="K969" t="str">
            <v>Low</v>
          </cell>
          <cell r="AB969">
            <v>2</v>
          </cell>
        </row>
        <row r="970">
          <cell r="B970" t="str">
            <v>Sanjana Rao</v>
          </cell>
          <cell r="I970" t="str">
            <v>Correct</v>
          </cell>
          <cell r="J970">
            <v>1.99</v>
          </cell>
          <cell r="K970" t="str">
            <v>Low</v>
          </cell>
          <cell r="AB970">
            <v>1.51</v>
          </cell>
        </row>
        <row r="971">
          <cell r="B971" t="str">
            <v>Sanjana Rao</v>
          </cell>
          <cell r="I971" t="str">
            <v>Wrong</v>
          </cell>
          <cell r="J971">
            <v>1.68</v>
          </cell>
          <cell r="K971" t="str">
            <v>Medium</v>
          </cell>
          <cell r="AB971">
            <v>0</v>
          </cell>
        </row>
        <row r="972">
          <cell r="B972" t="str">
            <v>Sanjana Rao</v>
          </cell>
          <cell r="I972" t="str">
            <v>Correct</v>
          </cell>
          <cell r="J972">
            <v>1.64</v>
          </cell>
          <cell r="K972" t="str">
            <v>Medium</v>
          </cell>
          <cell r="AB972">
            <v>2</v>
          </cell>
        </row>
        <row r="973">
          <cell r="B973" t="str">
            <v>Sanjana Rao</v>
          </cell>
          <cell r="I973" t="str">
            <v>Correct</v>
          </cell>
          <cell r="J973">
            <v>2.0499999999999998</v>
          </cell>
          <cell r="K973" t="str">
            <v>Medium</v>
          </cell>
          <cell r="AB973">
            <v>1.76</v>
          </cell>
        </row>
        <row r="974">
          <cell r="B974" t="str">
            <v>Sanjana Rao</v>
          </cell>
          <cell r="I974" t="str">
            <v>Wrong</v>
          </cell>
          <cell r="J974">
            <v>2.2599999999999998</v>
          </cell>
          <cell r="K974" t="str">
            <v>Medium</v>
          </cell>
          <cell r="AB974">
            <v>0</v>
          </cell>
        </row>
        <row r="975">
          <cell r="B975" t="str">
            <v>Sanjana Rao</v>
          </cell>
          <cell r="I975" t="str">
            <v>Correct</v>
          </cell>
          <cell r="J975">
            <v>1.28</v>
          </cell>
          <cell r="K975" t="str">
            <v>Medium</v>
          </cell>
          <cell r="AB975">
            <v>2</v>
          </cell>
        </row>
        <row r="976">
          <cell r="B976" t="str">
            <v>Sanjana Rao</v>
          </cell>
          <cell r="I976" t="str">
            <v>Correct</v>
          </cell>
          <cell r="J976">
            <v>1.59</v>
          </cell>
          <cell r="K976" t="str">
            <v>Medium</v>
          </cell>
          <cell r="AB976">
            <v>2</v>
          </cell>
        </row>
        <row r="977">
          <cell r="B977" t="str">
            <v>Sanjana Rao</v>
          </cell>
          <cell r="I977" t="str">
            <v>Correct</v>
          </cell>
          <cell r="J977">
            <v>1.71</v>
          </cell>
          <cell r="K977" t="str">
            <v>High</v>
          </cell>
          <cell r="AB977">
            <v>3</v>
          </cell>
        </row>
        <row r="978">
          <cell r="B978" t="str">
            <v>Sanjana Rao</v>
          </cell>
          <cell r="I978" t="str">
            <v>Correct</v>
          </cell>
          <cell r="J978">
            <v>2.15</v>
          </cell>
          <cell r="K978" t="str">
            <v>High</v>
          </cell>
          <cell r="AB978">
            <v>2.79</v>
          </cell>
        </row>
        <row r="979">
          <cell r="B979" t="str">
            <v>Sanjana Rao</v>
          </cell>
          <cell r="I979" t="str">
            <v>Correct</v>
          </cell>
          <cell r="J979">
            <v>2.2000000000000002</v>
          </cell>
          <cell r="K979" t="str">
            <v>High</v>
          </cell>
          <cell r="AB979">
            <v>2.73</v>
          </cell>
        </row>
        <row r="980">
          <cell r="B980" t="str">
            <v>Sanjana Rao</v>
          </cell>
          <cell r="I980" t="str">
            <v>Wrong</v>
          </cell>
          <cell r="J980">
            <v>2.5099999999999998</v>
          </cell>
          <cell r="K980" t="str">
            <v>High</v>
          </cell>
          <cell r="AB980">
            <v>0</v>
          </cell>
        </row>
        <row r="981">
          <cell r="B981" t="str">
            <v>Sanjana Rao</v>
          </cell>
          <cell r="I981" t="str">
            <v>Correct</v>
          </cell>
          <cell r="J981">
            <v>2.2400000000000002</v>
          </cell>
          <cell r="K981" t="str">
            <v>High</v>
          </cell>
          <cell r="AB981">
            <v>2.68</v>
          </cell>
        </row>
        <row r="982">
          <cell r="B982" t="str">
            <v>Tharun Kumar</v>
          </cell>
          <cell r="I982" t="str">
            <v>Correct</v>
          </cell>
          <cell r="J982">
            <v>1.9</v>
          </cell>
          <cell r="K982" t="str">
            <v>Low</v>
          </cell>
          <cell r="AB982">
            <v>1.58</v>
          </cell>
        </row>
        <row r="983">
          <cell r="B983" t="str">
            <v>Tharun Kumar</v>
          </cell>
          <cell r="I983" t="str">
            <v>Correct</v>
          </cell>
          <cell r="J983">
            <v>1.92</v>
          </cell>
          <cell r="K983" t="str">
            <v>Low</v>
          </cell>
          <cell r="AB983">
            <v>0.78</v>
          </cell>
        </row>
        <row r="984">
          <cell r="B984" t="str">
            <v>Tharun Kumar</v>
          </cell>
          <cell r="I984" t="str">
            <v>Correct</v>
          </cell>
          <cell r="J984">
            <v>1.55</v>
          </cell>
          <cell r="K984" t="str">
            <v>Low</v>
          </cell>
          <cell r="AB984">
            <v>1.94</v>
          </cell>
        </row>
        <row r="985">
          <cell r="B985" t="str">
            <v>Tharun Kumar</v>
          </cell>
          <cell r="I985" t="str">
            <v>Correct</v>
          </cell>
          <cell r="J985">
            <v>1.93</v>
          </cell>
          <cell r="K985" t="str">
            <v>Low</v>
          </cell>
          <cell r="AB985">
            <v>0.78</v>
          </cell>
        </row>
        <row r="986">
          <cell r="B986" t="str">
            <v>Tharun Kumar</v>
          </cell>
          <cell r="I986" t="str">
            <v>Correct</v>
          </cell>
          <cell r="J986">
            <v>1.1599999999999999</v>
          </cell>
          <cell r="K986" t="str">
            <v>Low</v>
          </cell>
          <cell r="AB986">
            <v>1</v>
          </cell>
        </row>
        <row r="987">
          <cell r="B987" t="str">
            <v>Tharun Kumar</v>
          </cell>
          <cell r="I987" t="str">
            <v>Correct</v>
          </cell>
          <cell r="J987">
            <v>1.37</v>
          </cell>
          <cell r="K987" t="str">
            <v>Low</v>
          </cell>
          <cell r="AB987">
            <v>2</v>
          </cell>
        </row>
        <row r="988">
          <cell r="B988" t="str">
            <v>Tharun Kumar</v>
          </cell>
          <cell r="I988" t="str">
            <v>Wrong</v>
          </cell>
          <cell r="J988">
            <v>1.63</v>
          </cell>
          <cell r="K988" t="str">
            <v>Low</v>
          </cell>
          <cell r="AB988">
            <v>0</v>
          </cell>
        </row>
        <row r="989">
          <cell r="B989" t="str">
            <v>Tharun Kumar</v>
          </cell>
          <cell r="I989" t="str">
            <v>Correct</v>
          </cell>
          <cell r="J989">
            <v>1.92</v>
          </cell>
          <cell r="K989" t="str">
            <v>Low</v>
          </cell>
          <cell r="AB989">
            <v>1.56</v>
          </cell>
        </row>
        <row r="990">
          <cell r="B990" t="str">
            <v>Tharun Kumar</v>
          </cell>
          <cell r="I990" t="str">
            <v>Correct</v>
          </cell>
          <cell r="J990">
            <v>1.41</v>
          </cell>
          <cell r="K990" t="str">
            <v>Low</v>
          </cell>
          <cell r="AB990">
            <v>2</v>
          </cell>
        </row>
        <row r="991">
          <cell r="B991" t="str">
            <v>Tharun Kumar</v>
          </cell>
          <cell r="I991" t="str">
            <v>Correct</v>
          </cell>
          <cell r="J991">
            <v>1.65</v>
          </cell>
          <cell r="K991" t="str">
            <v>Medium</v>
          </cell>
          <cell r="AB991">
            <v>2</v>
          </cell>
        </row>
        <row r="992">
          <cell r="B992" t="str">
            <v>Tharun Kumar</v>
          </cell>
          <cell r="I992" t="str">
            <v>Wrong</v>
          </cell>
          <cell r="J992">
            <v>1.94</v>
          </cell>
          <cell r="K992" t="str">
            <v>Medium</v>
          </cell>
          <cell r="AB992">
            <v>0</v>
          </cell>
        </row>
        <row r="993">
          <cell r="B993" t="str">
            <v>Tharun Kumar</v>
          </cell>
          <cell r="I993" t="str">
            <v>Correct</v>
          </cell>
          <cell r="J993">
            <v>1.33</v>
          </cell>
          <cell r="K993" t="str">
            <v>Medium</v>
          </cell>
          <cell r="AB993">
            <v>2</v>
          </cell>
        </row>
        <row r="994">
          <cell r="B994" t="str">
            <v>Tharun Kumar</v>
          </cell>
          <cell r="I994" t="str">
            <v>Correct</v>
          </cell>
          <cell r="J994">
            <v>1.45</v>
          </cell>
          <cell r="K994" t="str">
            <v>Medium</v>
          </cell>
          <cell r="AB994">
            <v>2</v>
          </cell>
        </row>
        <row r="995">
          <cell r="B995" t="str">
            <v>Tharun Kumar</v>
          </cell>
          <cell r="I995" t="str">
            <v>Wrong</v>
          </cell>
          <cell r="J995">
            <v>1.33</v>
          </cell>
          <cell r="K995" t="str">
            <v>Medium</v>
          </cell>
          <cell r="AB995">
            <v>0</v>
          </cell>
        </row>
        <row r="996">
          <cell r="B996" t="str">
            <v>Tharun Kumar</v>
          </cell>
          <cell r="I996" t="str">
            <v>Wrong</v>
          </cell>
          <cell r="J996">
            <v>2.2799999999999998</v>
          </cell>
          <cell r="K996" t="str">
            <v>Medium</v>
          </cell>
          <cell r="AB996">
            <v>0</v>
          </cell>
        </row>
        <row r="997">
          <cell r="B997" t="str">
            <v>Tharun Kumar</v>
          </cell>
          <cell r="I997" t="str">
            <v>Correct</v>
          </cell>
          <cell r="J997">
            <v>2.0099999999999998</v>
          </cell>
          <cell r="K997" t="str">
            <v>High</v>
          </cell>
          <cell r="AB997">
            <v>2.99</v>
          </cell>
        </row>
        <row r="998">
          <cell r="B998" t="str">
            <v>Tharun Kumar</v>
          </cell>
          <cell r="I998" t="str">
            <v>Correct</v>
          </cell>
          <cell r="J998">
            <v>2.54</v>
          </cell>
          <cell r="K998" t="str">
            <v>High</v>
          </cell>
          <cell r="AB998">
            <v>2.36</v>
          </cell>
        </row>
        <row r="999">
          <cell r="B999" t="str">
            <v>Tharun Kumar</v>
          </cell>
          <cell r="I999" t="str">
            <v>Correct</v>
          </cell>
          <cell r="J999">
            <v>1.73</v>
          </cell>
          <cell r="K999" t="str">
            <v>High</v>
          </cell>
          <cell r="AB999">
            <v>3</v>
          </cell>
        </row>
        <row r="1000">
          <cell r="B1000" t="str">
            <v>Tharun Kumar</v>
          </cell>
          <cell r="I1000" t="str">
            <v>Wrong</v>
          </cell>
          <cell r="J1000">
            <v>1.81</v>
          </cell>
          <cell r="K1000" t="str">
            <v>High</v>
          </cell>
          <cell r="AB1000">
            <v>0</v>
          </cell>
        </row>
        <row r="1001">
          <cell r="B1001" t="str">
            <v>Tharun Kumar</v>
          </cell>
          <cell r="I1001" t="str">
            <v>Correct</v>
          </cell>
          <cell r="J1001">
            <v>1.97</v>
          </cell>
          <cell r="K1001" t="str">
            <v>High</v>
          </cell>
          <cell r="AB1001">
            <v>3</v>
          </cell>
        </row>
        <row r="1002">
          <cell r="B1002" t="str">
            <v>Uday Shankar</v>
          </cell>
          <cell r="I1002" t="str">
            <v>Correct</v>
          </cell>
          <cell r="J1002">
            <v>1.81</v>
          </cell>
          <cell r="K1002" t="str">
            <v>Low</v>
          </cell>
          <cell r="AB1002">
            <v>1.66</v>
          </cell>
        </row>
        <row r="1003">
          <cell r="B1003" t="str">
            <v>Uday Shankar</v>
          </cell>
          <cell r="I1003" t="str">
            <v>Correct</v>
          </cell>
          <cell r="J1003">
            <v>1.1299999999999999</v>
          </cell>
          <cell r="K1003" t="str">
            <v>Low</v>
          </cell>
          <cell r="AB1003">
            <v>1</v>
          </cell>
        </row>
        <row r="1004">
          <cell r="B1004" t="str">
            <v>Uday Shankar</v>
          </cell>
          <cell r="I1004" t="str">
            <v>Correct</v>
          </cell>
          <cell r="J1004">
            <v>1.42</v>
          </cell>
          <cell r="K1004" t="str">
            <v>Low</v>
          </cell>
          <cell r="AB1004">
            <v>2</v>
          </cell>
        </row>
        <row r="1005">
          <cell r="B1005" t="str">
            <v>Uday Shankar</v>
          </cell>
          <cell r="I1005" t="str">
            <v>Correct</v>
          </cell>
          <cell r="J1005">
            <v>1.1000000000000001</v>
          </cell>
          <cell r="K1005" t="str">
            <v>Low</v>
          </cell>
          <cell r="AB1005">
            <v>1</v>
          </cell>
        </row>
        <row r="1006">
          <cell r="B1006" t="str">
            <v>Uday Shankar</v>
          </cell>
          <cell r="I1006" t="str">
            <v>Correct</v>
          </cell>
          <cell r="J1006">
            <v>0.96</v>
          </cell>
          <cell r="K1006" t="str">
            <v>Low</v>
          </cell>
          <cell r="AB1006">
            <v>1</v>
          </cell>
        </row>
        <row r="1007">
          <cell r="B1007" t="str">
            <v>Uday Shankar</v>
          </cell>
          <cell r="I1007" t="str">
            <v>Correct</v>
          </cell>
          <cell r="J1007">
            <v>1.24</v>
          </cell>
          <cell r="K1007" t="str">
            <v>Low</v>
          </cell>
          <cell r="AB1007">
            <v>2</v>
          </cell>
        </row>
        <row r="1008">
          <cell r="B1008" t="str">
            <v>Uday Shankar</v>
          </cell>
          <cell r="I1008" t="str">
            <v>Correct</v>
          </cell>
          <cell r="J1008">
            <v>1.63</v>
          </cell>
          <cell r="K1008" t="str">
            <v>Low</v>
          </cell>
          <cell r="AB1008">
            <v>0.92</v>
          </cell>
        </row>
        <row r="1009">
          <cell r="B1009" t="str">
            <v>Uday Shankar</v>
          </cell>
          <cell r="I1009" t="str">
            <v>Wrong</v>
          </cell>
          <cell r="J1009">
            <v>1.24</v>
          </cell>
          <cell r="K1009" t="str">
            <v>Low</v>
          </cell>
          <cell r="AB1009">
            <v>0</v>
          </cell>
        </row>
        <row r="1010">
          <cell r="B1010" t="str">
            <v>Uday Shankar</v>
          </cell>
          <cell r="I1010" t="str">
            <v>Wrong</v>
          </cell>
          <cell r="J1010">
            <v>1.31</v>
          </cell>
          <cell r="K1010" t="str">
            <v>Low</v>
          </cell>
          <cell r="AB1010">
            <v>0</v>
          </cell>
        </row>
        <row r="1011">
          <cell r="B1011" t="str">
            <v>Uday Shankar</v>
          </cell>
          <cell r="I1011" t="str">
            <v>Correct</v>
          </cell>
          <cell r="J1011">
            <v>1.32</v>
          </cell>
          <cell r="K1011" t="str">
            <v>Medium</v>
          </cell>
          <cell r="AB1011">
            <v>2</v>
          </cell>
        </row>
        <row r="1012">
          <cell r="B1012" t="str">
            <v>Uday Shankar</v>
          </cell>
          <cell r="I1012" t="str">
            <v>Wrong</v>
          </cell>
          <cell r="J1012">
            <v>1.9</v>
          </cell>
          <cell r="K1012" t="str">
            <v>Medium</v>
          </cell>
          <cell r="AB1012">
            <v>0</v>
          </cell>
        </row>
        <row r="1013">
          <cell r="B1013" t="str">
            <v>Uday Shankar</v>
          </cell>
          <cell r="I1013" t="str">
            <v>Wrong</v>
          </cell>
          <cell r="J1013">
            <v>1.1299999999999999</v>
          </cell>
          <cell r="K1013" t="str">
            <v>Medium</v>
          </cell>
          <cell r="AB1013">
            <v>0</v>
          </cell>
        </row>
        <row r="1014">
          <cell r="B1014" t="str">
            <v>Uday Shankar</v>
          </cell>
          <cell r="I1014" t="str">
            <v>Correct</v>
          </cell>
          <cell r="J1014">
            <v>1.7</v>
          </cell>
          <cell r="K1014" t="str">
            <v>Medium</v>
          </cell>
          <cell r="AB1014">
            <v>2</v>
          </cell>
        </row>
        <row r="1015">
          <cell r="B1015" t="str">
            <v>Uday Shankar</v>
          </cell>
          <cell r="I1015" t="str">
            <v>Wrong</v>
          </cell>
          <cell r="J1015">
            <v>1.41</v>
          </cell>
          <cell r="K1015" t="str">
            <v>Medium</v>
          </cell>
          <cell r="AB1015">
            <v>0</v>
          </cell>
        </row>
        <row r="1016">
          <cell r="B1016" t="str">
            <v>Uday Shankar</v>
          </cell>
          <cell r="I1016" t="str">
            <v>Wrong</v>
          </cell>
          <cell r="J1016">
            <v>1.34</v>
          </cell>
          <cell r="K1016" t="str">
            <v>Medium</v>
          </cell>
          <cell r="AB1016">
            <v>0</v>
          </cell>
        </row>
        <row r="1017">
          <cell r="B1017" t="str">
            <v>Uday Shankar</v>
          </cell>
          <cell r="I1017" t="str">
            <v>Correct</v>
          </cell>
          <cell r="J1017">
            <v>2.34</v>
          </cell>
          <cell r="K1017" t="str">
            <v>High</v>
          </cell>
          <cell r="AB1017">
            <v>2.57</v>
          </cell>
        </row>
        <row r="1018">
          <cell r="B1018" t="str">
            <v>Uday Shankar</v>
          </cell>
          <cell r="I1018" t="str">
            <v>Correct</v>
          </cell>
          <cell r="J1018">
            <v>2.23</v>
          </cell>
          <cell r="K1018" t="str">
            <v>High</v>
          </cell>
          <cell r="AB1018">
            <v>2.69</v>
          </cell>
        </row>
        <row r="1019">
          <cell r="B1019" t="str">
            <v>Uday Shankar</v>
          </cell>
          <cell r="I1019" t="str">
            <v>Wrong</v>
          </cell>
          <cell r="J1019">
            <v>1.52</v>
          </cell>
          <cell r="K1019" t="str">
            <v>High</v>
          </cell>
          <cell r="AB1019">
            <v>0</v>
          </cell>
        </row>
        <row r="1020">
          <cell r="B1020" t="str">
            <v>Uday Shankar</v>
          </cell>
          <cell r="I1020" t="str">
            <v>Correct</v>
          </cell>
          <cell r="J1020">
            <v>2.2599999999999998</v>
          </cell>
          <cell r="K1020" t="str">
            <v>High</v>
          </cell>
          <cell r="AB1020">
            <v>2.66</v>
          </cell>
        </row>
        <row r="1021">
          <cell r="B1021" t="str">
            <v>Uday Shankar</v>
          </cell>
          <cell r="I1021" t="str">
            <v>Wrong</v>
          </cell>
          <cell r="J1021">
            <v>1.33</v>
          </cell>
          <cell r="K1021" t="str">
            <v>High</v>
          </cell>
          <cell r="AB1021">
            <v>0</v>
          </cell>
        </row>
        <row r="1022">
          <cell r="B1022" t="str">
            <v>Vaishnavi R</v>
          </cell>
          <cell r="I1022" t="str">
            <v>Correct</v>
          </cell>
          <cell r="J1022">
            <v>1.36</v>
          </cell>
          <cell r="K1022" t="str">
            <v>Low</v>
          </cell>
          <cell r="AB1022">
            <v>2</v>
          </cell>
        </row>
        <row r="1023">
          <cell r="B1023" t="str">
            <v>Vaishnavi R</v>
          </cell>
          <cell r="I1023" t="str">
            <v>Correct</v>
          </cell>
          <cell r="J1023">
            <v>1.62</v>
          </cell>
          <cell r="K1023" t="str">
            <v>Low</v>
          </cell>
          <cell r="AB1023">
            <v>0.93</v>
          </cell>
        </row>
        <row r="1024">
          <cell r="B1024" t="str">
            <v>Vaishnavi R</v>
          </cell>
          <cell r="I1024" t="str">
            <v>Correct</v>
          </cell>
          <cell r="J1024">
            <v>1.33</v>
          </cell>
          <cell r="K1024" t="str">
            <v>Low</v>
          </cell>
          <cell r="AB1024">
            <v>2</v>
          </cell>
        </row>
        <row r="1025">
          <cell r="B1025" t="str">
            <v>Vaishnavi R</v>
          </cell>
          <cell r="I1025" t="str">
            <v>Wrong</v>
          </cell>
          <cell r="J1025">
            <v>1.57</v>
          </cell>
          <cell r="K1025" t="str">
            <v>Low</v>
          </cell>
          <cell r="AB1025">
            <v>0</v>
          </cell>
        </row>
        <row r="1026">
          <cell r="B1026" t="str">
            <v>Vaishnavi R</v>
          </cell>
          <cell r="I1026" t="str">
            <v>Correct</v>
          </cell>
          <cell r="J1026">
            <v>0.98</v>
          </cell>
          <cell r="K1026" t="str">
            <v>Low</v>
          </cell>
          <cell r="AB1026">
            <v>1</v>
          </cell>
        </row>
        <row r="1027">
          <cell r="B1027" t="str">
            <v>Vaishnavi R</v>
          </cell>
          <cell r="I1027" t="str">
            <v>Correct</v>
          </cell>
          <cell r="J1027">
            <v>1.32</v>
          </cell>
          <cell r="K1027" t="str">
            <v>Low</v>
          </cell>
          <cell r="AB1027">
            <v>2</v>
          </cell>
        </row>
        <row r="1028">
          <cell r="B1028" t="str">
            <v>Vaishnavi R</v>
          </cell>
          <cell r="I1028" t="str">
            <v>Correct</v>
          </cell>
          <cell r="J1028">
            <v>1.62</v>
          </cell>
          <cell r="K1028" t="str">
            <v>Low</v>
          </cell>
          <cell r="AB1028">
            <v>0.93</v>
          </cell>
        </row>
        <row r="1029">
          <cell r="B1029" t="str">
            <v>Vaishnavi R</v>
          </cell>
          <cell r="I1029" t="str">
            <v>Correct</v>
          </cell>
          <cell r="J1029">
            <v>1.74</v>
          </cell>
          <cell r="K1029" t="str">
            <v>Low</v>
          </cell>
          <cell r="AB1029">
            <v>1.72</v>
          </cell>
        </row>
        <row r="1030">
          <cell r="B1030" t="str">
            <v>Vaishnavi R</v>
          </cell>
          <cell r="I1030" t="str">
            <v>Correct</v>
          </cell>
          <cell r="J1030">
            <v>0.98</v>
          </cell>
          <cell r="K1030" t="str">
            <v>Low</v>
          </cell>
          <cell r="AB1030">
            <v>2</v>
          </cell>
        </row>
        <row r="1031">
          <cell r="B1031" t="str">
            <v>Vaishnavi R</v>
          </cell>
          <cell r="I1031" t="str">
            <v>Correct</v>
          </cell>
          <cell r="J1031">
            <v>1.43</v>
          </cell>
          <cell r="K1031" t="str">
            <v>Medium</v>
          </cell>
          <cell r="AB1031">
            <v>2</v>
          </cell>
        </row>
        <row r="1032">
          <cell r="B1032" t="str">
            <v>Vaishnavi R</v>
          </cell>
          <cell r="I1032" t="str">
            <v>Correct</v>
          </cell>
          <cell r="J1032">
            <v>1.78</v>
          </cell>
          <cell r="K1032" t="str">
            <v>Medium</v>
          </cell>
          <cell r="AB1032">
            <v>2</v>
          </cell>
        </row>
        <row r="1033">
          <cell r="B1033" t="str">
            <v>Vaishnavi R</v>
          </cell>
          <cell r="I1033" t="str">
            <v>Correct</v>
          </cell>
          <cell r="J1033">
            <v>1.22</v>
          </cell>
          <cell r="K1033" t="str">
            <v>Medium</v>
          </cell>
          <cell r="AB1033">
            <v>2</v>
          </cell>
        </row>
        <row r="1034">
          <cell r="B1034" t="str">
            <v>Vaishnavi R</v>
          </cell>
          <cell r="I1034" t="str">
            <v>Correct</v>
          </cell>
          <cell r="J1034">
            <v>1.71</v>
          </cell>
          <cell r="K1034" t="str">
            <v>Medium</v>
          </cell>
          <cell r="AB1034">
            <v>2</v>
          </cell>
        </row>
        <row r="1035">
          <cell r="B1035" t="str">
            <v>Vaishnavi R</v>
          </cell>
          <cell r="I1035" t="str">
            <v>Wrong</v>
          </cell>
          <cell r="J1035">
            <v>2.29</v>
          </cell>
          <cell r="K1035" t="str">
            <v>Medium</v>
          </cell>
          <cell r="AB1035">
            <v>0</v>
          </cell>
        </row>
        <row r="1036">
          <cell r="B1036" t="str">
            <v>Vaishnavi R</v>
          </cell>
          <cell r="I1036" t="str">
            <v>Correct</v>
          </cell>
          <cell r="J1036">
            <v>1.1399999999999999</v>
          </cell>
          <cell r="K1036" t="str">
            <v>Medium</v>
          </cell>
          <cell r="AB1036">
            <v>2</v>
          </cell>
        </row>
        <row r="1037">
          <cell r="B1037" t="str">
            <v>Vaishnavi R</v>
          </cell>
          <cell r="I1037" t="str">
            <v>Wrong</v>
          </cell>
          <cell r="J1037">
            <v>1.5</v>
          </cell>
          <cell r="K1037" t="str">
            <v>High</v>
          </cell>
          <cell r="AB1037">
            <v>0</v>
          </cell>
        </row>
        <row r="1038">
          <cell r="B1038" t="str">
            <v>Vaishnavi R</v>
          </cell>
          <cell r="I1038" t="str">
            <v>Correct</v>
          </cell>
          <cell r="J1038">
            <v>2.2400000000000002</v>
          </cell>
          <cell r="K1038" t="str">
            <v>High</v>
          </cell>
          <cell r="AB1038">
            <v>2.68</v>
          </cell>
        </row>
        <row r="1039">
          <cell r="B1039" t="str">
            <v>Vaishnavi R</v>
          </cell>
          <cell r="I1039" t="str">
            <v>Correct</v>
          </cell>
          <cell r="J1039">
            <v>2.29</v>
          </cell>
          <cell r="K1039" t="str">
            <v>High</v>
          </cell>
          <cell r="AB1039">
            <v>2.62</v>
          </cell>
        </row>
        <row r="1040">
          <cell r="B1040" t="str">
            <v>Vaishnavi R</v>
          </cell>
          <cell r="I1040" t="str">
            <v>Correct</v>
          </cell>
          <cell r="J1040">
            <v>1.99</v>
          </cell>
          <cell r="K1040" t="str">
            <v>High</v>
          </cell>
          <cell r="AB1040">
            <v>3</v>
          </cell>
        </row>
        <row r="1041">
          <cell r="B1041" t="str">
            <v>Vaishnavi R</v>
          </cell>
          <cell r="I1041" t="str">
            <v>Wrong</v>
          </cell>
          <cell r="J1041">
            <v>1.61</v>
          </cell>
          <cell r="K1041" t="str">
            <v>High</v>
          </cell>
          <cell r="AB1041">
            <v>0</v>
          </cell>
        </row>
        <row r="1042">
          <cell r="B1042" t="str">
            <v>Wasim Khan</v>
          </cell>
          <cell r="I1042" t="str">
            <v>Correct</v>
          </cell>
          <cell r="J1042">
            <v>1.85</v>
          </cell>
          <cell r="K1042" t="str">
            <v>Low</v>
          </cell>
          <cell r="AB1042">
            <v>1.62</v>
          </cell>
        </row>
        <row r="1043">
          <cell r="B1043" t="str">
            <v>Wasim Khan</v>
          </cell>
          <cell r="I1043" t="str">
            <v>Correct</v>
          </cell>
          <cell r="J1043">
            <v>1.23</v>
          </cell>
          <cell r="K1043" t="str">
            <v>Low</v>
          </cell>
          <cell r="AB1043">
            <v>1</v>
          </cell>
        </row>
        <row r="1044">
          <cell r="B1044" t="str">
            <v>Wasim Khan</v>
          </cell>
          <cell r="I1044" t="str">
            <v>Correct</v>
          </cell>
          <cell r="J1044">
            <v>1.95</v>
          </cell>
          <cell r="K1044" t="str">
            <v>Low</v>
          </cell>
          <cell r="AB1044">
            <v>1.54</v>
          </cell>
        </row>
        <row r="1045">
          <cell r="B1045" t="str">
            <v>Wasim Khan</v>
          </cell>
          <cell r="I1045" t="str">
            <v>Correct</v>
          </cell>
          <cell r="J1045">
            <v>1.28</v>
          </cell>
          <cell r="K1045" t="str">
            <v>Low</v>
          </cell>
          <cell r="AB1045">
            <v>1</v>
          </cell>
        </row>
        <row r="1046">
          <cell r="B1046" t="str">
            <v>Wasim Khan</v>
          </cell>
          <cell r="I1046" t="str">
            <v>Correct</v>
          </cell>
          <cell r="J1046">
            <v>1.01</v>
          </cell>
          <cell r="K1046" t="str">
            <v>Low</v>
          </cell>
          <cell r="AB1046">
            <v>1</v>
          </cell>
        </row>
        <row r="1047">
          <cell r="B1047" t="str">
            <v>Wasim Khan</v>
          </cell>
          <cell r="I1047" t="str">
            <v>Correct</v>
          </cell>
          <cell r="J1047">
            <v>1.37</v>
          </cell>
          <cell r="K1047" t="str">
            <v>Low</v>
          </cell>
          <cell r="AB1047">
            <v>2</v>
          </cell>
        </row>
        <row r="1048">
          <cell r="B1048" t="str">
            <v>Wasim Khan</v>
          </cell>
          <cell r="I1048" t="str">
            <v>Correct</v>
          </cell>
          <cell r="J1048">
            <v>1.43</v>
          </cell>
          <cell r="K1048" t="str">
            <v>Low</v>
          </cell>
          <cell r="AB1048">
            <v>1</v>
          </cell>
        </row>
        <row r="1049">
          <cell r="B1049" t="str">
            <v>Wasim Khan</v>
          </cell>
          <cell r="I1049" t="str">
            <v>Correct</v>
          </cell>
          <cell r="J1049">
            <v>1.93</v>
          </cell>
          <cell r="K1049" t="str">
            <v>Low</v>
          </cell>
          <cell r="AB1049">
            <v>1.55</v>
          </cell>
        </row>
        <row r="1050">
          <cell r="B1050" t="str">
            <v>Wasim Khan</v>
          </cell>
          <cell r="I1050" t="str">
            <v>Wrong</v>
          </cell>
          <cell r="J1050">
            <v>1.9</v>
          </cell>
          <cell r="K1050" t="str">
            <v>Low</v>
          </cell>
          <cell r="AB1050">
            <v>0</v>
          </cell>
        </row>
        <row r="1051">
          <cell r="B1051" t="str">
            <v>Wasim Khan</v>
          </cell>
          <cell r="I1051" t="str">
            <v>Correct</v>
          </cell>
          <cell r="J1051">
            <v>1.48</v>
          </cell>
          <cell r="K1051" t="str">
            <v>Medium</v>
          </cell>
          <cell r="AB1051">
            <v>2</v>
          </cell>
        </row>
        <row r="1052">
          <cell r="B1052" t="str">
            <v>Wasim Khan</v>
          </cell>
          <cell r="I1052" t="str">
            <v>Wrong</v>
          </cell>
          <cell r="J1052">
            <v>1.23</v>
          </cell>
          <cell r="K1052" t="str">
            <v>Medium</v>
          </cell>
          <cell r="AB1052">
            <v>0</v>
          </cell>
        </row>
        <row r="1053">
          <cell r="B1053" t="str">
            <v>Wasim Khan</v>
          </cell>
          <cell r="I1053" t="str">
            <v>Correct</v>
          </cell>
          <cell r="J1053">
            <v>1.81</v>
          </cell>
          <cell r="K1053" t="str">
            <v>Medium</v>
          </cell>
          <cell r="AB1053">
            <v>1.99</v>
          </cell>
        </row>
        <row r="1054">
          <cell r="B1054" t="str">
            <v>Wasim Khan</v>
          </cell>
          <cell r="I1054" t="str">
            <v>Wrong</v>
          </cell>
          <cell r="J1054">
            <v>1.45</v>
          </cell>
          <cell r="K1054" t="str">
            <v>Medium</v>
          </cell>
          <cell r="AB1054">
            <v>0</v>
          </cell>
        </row>
        <row r="1055">
          <cell r="B1055" t="str">
            <v>Wasim Khan</v>
          </cell>
          <cell r="I1055" t="str">
            <v>Correct</v>
          </cell>
          <cell r="J1055">
            <v>1.1599999999999999</v>
          </cell>
          <cell r="K1055" t="str">
            <v>Medium</v>
          </cell>
          <cell r="AB1055">
            <v>2</v>
          </cell>
        </row>
        <row r="1056">
          <cell r="B1056" t="str">
            <v>Wasim Khan</v>
          </cell>
          <cell r="I1056" t="str">
            <v>Wrong</v>
          </cell>
          <cell r="J1056">
            <v>2.27</v>
          </cell>
          <cell r="K1056" t="str">
            <v>Medium</v>
          </cell>
          <cell r="AB1056">
            <v>0</v>
          </cell>
        </row>
        <row r="1057">
          <cell r="B1057" t="str">
            <v>Wasim Khan</v>
          </cell>
          <cell r="I1057" t="str">
            <v>Wrong</v>
          </cell>
          <cell r="J1057">
            <v>2.21</v>
          </cell>
          <cell r="K1057" t="str">
            <v>High</v>
          </cell>
          <cell r="AB1057">
            <v>0</v>
          </cell>
        </row>
        <row r="1058">
          <cell r="B1058" t="str">
            <v>Wasim Khan</v>
          </cell>
          <cell r="I1058" t="str">
            <v>Correct</v>
          </cell>
          <cell r="J1058">
            <v>1.87</v>
          </cell>
          <cell r="K1058" t="str">
            <v>High</v>
          </cell>
          <cell r="AB1058">
            <v>3</v>
          </cell>
        </row>
        <row r="1059">
          <cell r="B1059" t="str">
            <v>Wasim Khan</v>
          </cell>
          <cell r="I1059" t="str">
            <v>Wrong</v>
          </cell>
          <cell r="J1059">
            <v>1.55</v>
          </cell>
          <cell r="K1059" t="str">
            <v>High</v>
          </cell>
          <cell r="AB1059">
            <v>0</v>
          </cell>
        </row>
        <row r="1060">
          <cell r="B1060" t="str">
            <v>Wasim Khan</v>
          </cell>
          <cell r="I1060" t="str">
            <v>Wrong</v>
          </cell>
          <cell r="J1060">
            <v>2.14</v>
          </cell>
          <cell r="K1060" t="str">
            <v>High</v>
          </cell>
          <cell r="AB1060">
            <v>0</v>
          </cell>
        </row>
        <row r="1061">
          <cell r="B1061" t="str">
            <v>Wasim Khan</v>
          </cell>
          <cell r="I1061" t="str">
            <v>Wrong</v>
          </cell>
          <cell r="J1061">
            <v>2.17</v>
          </cell>
          <cell r="K1061" t="str">
            <v>High</v>
          </cell>
          <cell r="AB1061">
            <v>0</v>
          </cell>
        </row>
        <row r="1062">
          <cell r="B1062" t="str">
            <v>Yamini Devi</v>
          </cell>
          <cell r="I1062" t="str">
            <v>Correct</v>
          </cell>
          <cell r="J1062">
            <v>1.66</v>
          </cell>
          <cell r="K1062" t="str">
            <v>Low</v>
          </cell>
          <cell r="AB1062">
            <v>1.81</v>
          </cell>
        </row>
        <row r="1063">
          <cell r="B1063" t="str">
            <v>Yamini Devi</v>
          </cell>
          <cell r="I1063" t="str">
            <v>Correct</v>
          </cell>
          <cell r="J1063">
            <v>1.04</v>
          </cell>
          <cell r="K1063" t="str">
            <v>Low</v>
          </cell>
          <cell r="AB1063">
            <v>1</v>
          </cell>
        </row>
        <row r="1064">
          <cell r="B1064" t="str">
            <v>Yamini Devi</v>
          </cell>
          <cell r="I1064" t="str">
            <v>Correct</v>
          </cell>
          <cell r="J1064">
            <v>1.08</v>
          </cell>
          <cell r="K1064" t="str">
            <v>Low</v>
          </cell>
          <cell r="AB1064">
            <v>2</v>
          </cell>
        </row>
        <row r="1065">
          <cell r="B1065" t="str">
            <v>Yamini Devi</v>
          </cell>
          <cell r="I1065" t="str">
            <v>Wrong</v>
          </cell>
          <cell r="J1065">
            <v>1.28</v>
          </cell>
          <cell r="K1065" t="str">
            <v>Low</v>
          </cell>
          <cell r="AB1065">
            <v>0</v>
          </cell>
        </row>
        <row r="1066">
          <cell r="B1066" t="str">
            <v>Yamini Devi</v>
          </cell>
          <cell r="I1066" t="str">
            <v>Correct</v>
          </cell>
          <cell r="J1066">
            <v>0.93</v>
          </cell>
          <cell r="K1066" t="str">
            <v>Low</v>
          </cell>
          <cell r="AB1066">
            <v>1</v>
          </cell>
        </row>
        <row r="1067">
          <cell r="B1067" t="str">
            <v>Yamini Devi</v>
          </cell>
          <cell r="I1067" t="str">
            <v>Correct</v>
          </cell>
          <cell r="J1067">
            <v>1.18</v>
          </cell>
          <cell r="K1067" t="str">
            <v>Low</v>
          </cell>
          <cell r="AB1067">
            <v>2</v>
          </cell>
        </row>
        <row r="1068">
          <cell r="B1068" t="str">
            <v>Yamini Devi</v>
          </cell>
          <cell r="I1068" t="str">
            <v>Correct</v>
          </cell>
          <cell r="J1068">
            <v>1.1599999999999999</v>
          </cell>
          <cell r="K1068" t="str">
            <v>Low</v>
          </cell>
          <cell r="AB1068">
            <v>1</v>
          </cell>
        </row>
        <row r="1069">
          <cell r="B1069" t="str">
            <v>Yamini Devi</v>
          </cell>
          <cell r="I1069" t="str">
            <v>Correct</v>
          </cell>
          <cell r="J1069">
            <v>1.26</v>
          </cell>
          <cell r="K1069" t="str">
            <v>Low</v>
          </cell>
          <cell r="AB1069">
            <v>2</v>
          </cell>
        </row>
        <row r="1070">
          <cell r="B1070" t="str">
            <v>Yamini Devi</v>
          </cell>
          <cell r="I1070" t="str">
            <v>Correct</v>
          </cell>
          <cell r="J1070">
            <v>1.9</v>
          </cell>
          <cell r="K1070" t="str">
            <v>Low</v>
          </cell>
          <cell r="AB1070">
            <v>1.58</v>
          </cell>
        </row>
        <row r="1071">
          <cell r="B1071" t="str">
            <v>Yamini Devi</v>
          </cell>
          <cell r="I1071" t="str">
            <v>Correct</v>
          </cell>
          <cell r="J1071">
            <v>1.79</v>
          </cell>
          <cell r="K1071" t="str">
            <v>Medium</v>
          </cell>
          <cell r="AB1071">
            <v>2</v>
          </cell>
        </row>
        <row r="1072">
          <cell r="B1072" t="str">
            <v>Yamini Devi</v>
          </cell>
          <cell r="I1072" t="str">
            <v>Correct</v>
          </cell>
          <cell r="J1072">
            <v>1.61</v>
          </cell>
          <cell r="K1072" t="str">
            <v>Medium</v>
          </cell>
          <cell r="AB1072">
            <v>2</v>
          </cell>
        </row>
        <row r="1073">
          <cell r="B1073" t="str">
            <v>Yamini Devi</v>
          </cell>
          <cell r="I1073" t="str">
            <v>Wrong</v>
          </cell>
          <cell r="J1073">
            <v>1.43</v>
          </cell>
          <cell r="K1073" t="str">
            <v>Medium</v>
          </cell>
          <cell r="AB1073">
            <v>0</v>
          </cell>
        </row>
        <row r="1074">
          <cell r="B1074" t="str">
            <v>Yamini Devi</v>
          </cell>
          <cell r="I1074" t="str">
            <v>Correct</v>
          </cell>
          <cell r="J1074">
            <v>1.44</v>
          </cell>
          <cell r="K1074" t="str">
            <v>Medium</v>
          </cell>
          <cell r="AB1074">
            <v>2</v>
          </cell>
        </row>
        <row r="1075">
          <cell r="B1075" t="str">
            <v>Yamini Devi</v>
          </cell>
          <cell r="I1075" t="str">
            <v>Correct</v>
          </cell>
          <cell r="J1075">
            <v>1.76</v>
          </cell>
          <cell r="K1075" t="str">
            <v>Medium</v>
          </cell>
          <cell r="AB1075">
            <v>2</v>
          </cell>
        </row>
        <row r="1076">
          <cell r="B1076" t="str">
            <v>Yamini Devi</v>
          </cell>
          <cell r="I1076" t="str">
            <v>Correct</v>
          </cell>
          <cell r="J1076">
            <v>2.0699999999999998</v>
          </cell>
          <cell r="K1076" t="str">
            <v>Medium</v>
          </cell>
          <cell r="AB1076">
            <v>1.74</v>
          </cell>
        </row>
        <row r="1077">
          <cell r="B1077" t="str">
            <v>Yamini Devi</v>
          </cell>
          <cell r="I1077" t="str">
            <v>Wrong</v>
          </cell>
          <cell r="J1077">
            <v>2.31</v>
          </cell>
          <cell r="K1077" t="str">
            <v>High</v>
          </cell>
          <cell r="AB1077">
            <v>0</v>
          </cell>
        </row>
        <row r="1078">
          <cell r="B1078" t="str">
            <v>Yamini Devi</v>
          </cell>
          <cell r="I1078" t="str">
            <v>Correct</v>
          </cell>
          <cell r="J1078">
            <v>1.77</v>
          </cell>
          <cell r="K1078" t="str">
            <v>High</v>
          </cell>
          <cell r="AB1078">
            <v>3</v>
          </cell>
        </row>
        <row r="1079">
          <cell r="B1079" t="str">
            <v>Yamini Devi</v>
          </cell>
          <cell r="I1079" t="str">
            <v>Wrong</v>
          </cell>
          <cell r="J1079">
            <v>1.47</v>
          </cell>
          <cell r="K1079" t="str">
            <v>High</v>
          </cell>
          <cell r="AB1079">
            <v>0</v>
          </cell>
        </row>
        <row r="1080">
          <cell r="B1080" t="str">
            <v>Yamini Devi</v>
          </cell>
          <cell r="I1080" t="str">
            <v>Wrong</v>
          </cell>
          <cell r="J1080">
            <v>2.2999999999999998</v>
          </cell>
          <cell r="K1080" t="str">
            <v>High</v>
          </cell>
          <cell r="AB1080">
            <v>0</v>
          </cell>
        </row>
        <row r="1081">
          <cell r="B1081" t="str">
            <v>Yamini Devi</v>
          </cell>
          <cell r="I1081" t="str">
            <v>Wrong</v>
          </cell>
          <cell r="J1081">
            <v>1.92</v>
          </cell>
          <cell r="K1081" t="str">
            <v>High</v>
          </cell>
          <cell r="AB1081">
            <v>0</v>
          </cell>
        </row>
        <row r="1082">
          <cell r="B1082" t="str">
            <v>Zoya Fatima</v>
          </cell>
          <cell r="I1082" t="str">
            <v>Wrong</v>
          </cell>
          <cell r="J1082">
            <v>1.43</v>
          </cell>
          <cell r="K1082" t="str">
            <v>Low</v>
          </cell>
          <cell r="AB1082">
            <v>0</v>
          </cell>
        </row>
        <row r="1083">
          <cell r="B1083" t="str">
            <v>Zoya Fatima</v>
          </cell>
          <cell r="I1083" t="str">
            <v>Correct</v>
          </cell>
          <cell r="J1083">
            <v>0.99</v>
          </cell>
          <cell r="K1083" t="str">
            <v>Low</v>
          </cell>
          <cell r="AB1083">
            <v>1</v>
          </cell>
        </row>
        <row r="1084">
          <cell r="B1084" t="str">
            <v>Zoya Fatima</v>
          </cell>
          <cell r="I1084" t="str">
            <v>Correct</v>
          </cell>
          <cell r="J1084">
            <v>1.66</v>
          </cell>
          <cell r="K1084" t="str">
            <v>Low</v>
          </cell>
          <cell r="AB1084">
            <v>1.81</v>
          </cell>
        </row>
        <row r="1085">
          <cell r="B1085" t="str">
            <v>Zoya Fatima</v>
          </cell>
          <cell r="I1085" t="str">
            <v>Correct</v>
          </cell>
          <cell r="J1085">
            <v>0.91</v>
          </cell>
          <cell r="K1085" t="str">
            <v>Low</v>
          </cell>
          <cell r="AB1085">
            <v>1</v>
          </cell>
        </row>
        <row r="1086">
          <cell r="B1086" t="str">
            <v>Zoya Fatima</v>
          </cell>
          <cell r="I1086" t="str">
            <v>Correct</v>
          </cell>
          <cell r="J1086">
            <v>1.01</v>
          </cell>
          <cell r="K1086" t="str">
            <v>Low</v>
          </cell>
          <cell r="AB1086">
            <v>1</v>
          </cell>
        </row>
        <row r="1087">
          <cell r="B1087" t="str">
            <v>Zoya Fatima</v>
          </cell>
          <cell r="I1087" t="str">
            <v>Wrong</v>
          </cell>
          <cell r="J1087">
            <v>1.97</v>
          </cell>
          <cell r="K1087" t="str">
            <v>Low</v>
          </cell>
          <cell r="AB1087">
            <v>0</v>
          </cell>
        </row>
        <row r="1088">
          <cell r="B1088" t="str">
            <v>Zoya Fatima</v>
          </cell>
          <cell r="I1088" t="str">
            <v>Correct</v>
          </cell>
          <cell r="J1088">
            <v>1.05</v>
          </cell>
          <cell r="K1088" t="str">
            <v>Low</v>
          </cell>
          <cell r="AB1088">
            <v>1</v>
          </cell>
        </row>
        <row r="1089">
          <cell r="B1089" t="str">
            <v>Zoya Fatima</v>
          </cell>
          <cell r="I1089" t="str">
            <v>Correct</v>
          </cell>
          <cell r="J1089">
            <v>1.57</v>
          </cell>
          <cell r="K1089" t="str">
            <v>Low</v>
          </cell>
          <cell r="AB1089">
            <v>1.91</v>
          </cell>
        </row>
        <row r="1090">
          <cell r="B1090" t="str">
            <v>Zoya Fatima</v>
          </cell>
          <cell r="I1090" t="str">
            <v>Correct</v>
          </cell>
          <cell r="J1090">
            <v>1.7</v>
          </cell>
          <cell r="K1090" t="str">
            <v>Low</v>
          </cell>
          <cell r="AB1090">
            <v>1.76</v>
          </cell>
        </row>
        <row r="1091">
          <cell r="B1091" t="str">
            <v>Zoya Fatima</v>
          </cell>
          <cell r="I1091" t="str">
            <v>Correct</v>
          </cell>
          <cell r="J1091">
            <v>1.17</v>
          </cell>
          <cell r="K1091" t="str">
            <v>Medium</v>
          </cell>
          <cell r="AB1091">
            <v>2</v>
          </cell>
        </row>
        <row r="1092">
          <cell r="B1092" t="str">
            <v>Zoya Fatima</v>
          </cell>
          <cell r="I1092" t="str">
            <v>Correct</v>
          </cell>
          <cell r="J1092">
            <v>1.55</v>
          </cell>
          <cell r="K1092" t="str">
            <v>Medium</v>
          </cell>
          <cell r="AB1092">
            <v>2</v>
          </cell>
        </row>
        <row r="1093">
          <cell r="B1093" t="str">
            <v>Zoya Fatima</v>
          </cell>
          <cell r="I1093" t="str">
            <v>Correct</v>
          </cell>
          <cell r="J1093">
            <v>1.42</v>
          </cell>
          <cell r="K1093" t="str">
            <v>Medium</v>
          </cell>
          <cell r="AB1093">
            <v>2</v>
          </cell>
        </row>
        <row r="1094">
          <cell r="B1094" t="str">
            <v>Zoya Fatima</v>
          </cell>
          <cell r="I1094" t="str">
            <v>Correct</v>
          </cell>
          <cell r="J1094">
            <v>2.21</v>
          </cell>
          <cell r="K1094" t="str">
            <v>Medium</v>
          </cell>
          <cell r="AB1094">
            <v>1.63</v>
          </cell>
        </row>
        <row r="1095">
          <cell r="B1095" t="str">
            <v>Zoya Fatima</v>
          </cell>
          <cell r="I1095" t="str">
            <v>Wrong</v>
          </cell>
          <cell r="J1095">
            <v>1.2</v>
          </cell>
          <cell r="K1095" t="str">
            <v>Medium</v>
          </cell>
          <cell r="AB1095">
            <v>0</v>
          </cell>
        </row>
        <row r="1096">
          <cell r="B1096" t="str">
            <v>Zoya Fatima</v>
          </cell>
          <cell r="I1096" t="str">
            <v>Correct</v>
          </cell>
          <cell r="J1096">
            <v>2.17</v>
          </cell>
          <cell r="K1096" t="str">
            <v>Medium</v>
          </cell>
          <cell r="AB1096">
            <v>1.66</v>
          </cell>
        </row>
        <row r="1097">
          <cell r="B1097" t="str">
            <v>Zoya Fatima</v>
          </cell>
          <cell r="I1097" t="str">
            <v>Wrong</v>
          </cell>
          <cell r="J1097">
            <v>2.29</v>
          </cell>
          <cell r="K1097" t="str">
            <v>High</v>
          </cell>
          <cell r="AB1097">
            <v>0</v>
          </cell>
        </row>
        <row r="1098">
          <cell r="B1098" t="str">
            <v>Zoya Fatima</v>
          </cell>
          <cell r="I1098" t="str">
            <v>Wrong</v>
          </cell>
          <cell r="J1098">
            <v>2.4300000000000002</v>
          </cell>
          <cell r="K1098" t="str">
            <v>High</v>
          </cell>
          <cell r="AB1098">
            <v>0</v>
          </cell>
        </row>
        <row r="1099">
          <cell r="B1099" t="str">
            <v>Zoya Fatima</v>
          </cell>
          <cell r="I1099" t="str">
            <v>Wrong</v>
          </cell>
          <cell r="J1099">
            <v>2.19</v>
          </cell>
          <cell r="K1099" t="str">
            <v>High</v>
          </cell>
          <cell r="AB1099">
            <v>0</v>
          </cell>
        </row>
        <row r="1100">
          <cell r="B1100" t="str">
            <v>Zoya Fatima</v>
          </cell>
          <cell r="I1100" t="str">
            <v>Wrong</v>
          </cell>
          <cell r="J1100">
            <v>2.5</v>
          </cell>
          <cell r="K1100" t="str">
            <v>High</v>
          </cell>
          <cell r="AB1100">
            <v>0</v>
          </cell>
        </row>
        <row r="1101">
          <cell r="B1101" t="str">
            <v>Zoya Fatima</v>
          </cell>
          <cell r="I1101" t="str">
            <v>Correct</v>
          </cell>
          <cell r="J1101">
            <v>1.44</v>
          </cell>
          <cell r="K1101" t="str">
            <v>High</v>
          </cell>
          <cell r="AB1101">
            <v>3</v>
          </cell>
        </row>
        <row r="1102">
          <cell r="B1102" t="str">
            <v>Anand Krish</v>
          </cell>
          <cell r="I1102" t="str">
            <v>Correct</v>
          </cell>
          <cell r="J1102">
            <v>1.03</v>
          </cell>
          <cell r="K1102" t="str">
            <v>Low</v>
          </cell>
          <cell r="AB1102">
            <v>2</v>
          </cell>
        </row>
        <row r="1103">
          <cell r="B1103" t="str">
            <v>Anand Krish</v>
          </cell>
          <cell r="I1103" t="str">
            <v>Wrong</v>
          </cell>
          <cell r="J1103">
            <v>1.61</v>
          </cell>
          <cell r="K1103" t="str">
            <v>Low</v>
          </cell>
          <cell r="AB1103">
            <v>0</v>
          </cell>
        </row>
        <row r="1104">
          <cell r="B1104" t="str">
            <v>Anand Krish</v>
          </cell>
          <cell r="I1104" t="str">
            <v>Correct</v>
          </cell>
          <cell r="J1104">
            <v>1.99</v>
          </cell>
          <cell r="K1104" t="str">
            <v>Low</v>
          </cell>
          <cell r="AB1104">
            <v>1.51</v>
          </cell>
        </row>
        <row r="1105">
          <cell r="B1105" t="str">
            <v>Anand Krish</v>
          </cell>
          <cell r="I1105" t="str">
            <v>Wrong</v>
          </cell>
          <cell r="J1105">
            <v>1.6</v>
          </cell>
          <cell r="K1105" t="str">
            <v>Low</v>
          </cell>
          <cell r="AB1105">
            <v>0</v>
          </cell>
        </row>
        <row r="1106">
          <cell r="B1106" t="str">
            <v>Anand Krish</v>
          </cell>
          <cell r="I1106" t="str">
            <v>Correct</v>
          </cell>
          <cell r="J1106">
            <v>1.81</v>
          </cell>
          <cell r="K1106" t="str">
            <v>Low</v>
          </cell>
          <cell r="AB1106">
            <v>0.83</v>
          </cell>
        </row>
        <row r="1107">
          <cell r="B1107" t="str">
            <v>Anand Krish</v>
          </cell>
          <cell r="I1107" t="str">
            <v>Correct</v>
          </cell>
          <cell r="J1107">
            <v>1.68</v>
          </cell>
          <cell r="K1107" t="str">
            <v>Low</v>
          </cell>
          <cell r="AB1107">
            <v>1.79</v>
          </cell>
        </row>
        <row r="1108">
          <cell r="B1108" t="str">
            <v>Anand Krish</v>
          </cell>
          <cell r="I1108" t="str">
            <v>Wrong</v>
          </cell>
          <cell r="J1108">
            <v>1.04</v>
          </cell>
          <cell r="K1108" t="str">
            <v>Low</v>
          </cell>
          <cell r="AB1108">
            <v>0</v>
          </cell>
        </row>
        <row r="1109">
          <cell r="B1109" t="str">
            <v>Anand Krish</v>
          </cell>
          <cell r="I1109" t="str">
            <v>Correct</v>
          </cell>
          <cell r="J1109">
            <v>1.98</v>
          </cell>
          <cell r="K1109" t="str">
            <v>Low</v>
          </cell>
          <cell r="AB1109">
            <v>1.52</v>
          </cell>
        </row>
        <row r="1110">
          <cell r="B1110" t="str">
            <v>Anand Krish</v>
          </cell>
          <cell r="I1110" t="str">
            <v>Wrong</v>
          </cell>
          <cell r="J1110">
            <v>1.44</v>
          </cell>
          <cell r="K1110" t="str">
            <v>Low</v>
          </cell>
          <cell r="AB1110">
            <v>0</v>
          </cell>
        </row>
        <row r="1111">
          <cell r="B1111" t="str">
            <v>Anand Krish</v>
          </cell>
          <cell r="I1111" t="str">
            <v>Wrong</v>
          </cell>
          <cell r="J1111">
            <v>2.04</v>
          </cell>
          <cell r="K1111" t="str">
            <v>Medium</v>
          </cell>
          <cell r="AB1111">
            <v>0</v>
          </cell>
        </row>
        <row r="1112">
          <cell r="B1112" t="str">
            <v>Anand Krish</v>
          </cell>
          <cell r="I1112" t="str">
            <v>Correct</v>
          </cell>
          <cell r="J1112">
            <v>1.21</v>
          </cell>
          <cell r="K1112" t="str">
            <v>Medium</v>
          </cell>
          <cell r="AB1112">
            <v>2</v>
          </cell>
        </row>
        <row r="1113">
          <cell r="B1113" t="str">
            <v>Anand Krish</v>
          </cell>
          <cell r="I1113" t="str">
            <v>Wrong</v>
          </cell>
          <cell r="J1113">
            <v>1.54</v>
          </cell>
          <cell r="K1113" t="str">
            <v>Medium</v>
          </cell>
          <cell r="AB1113">
            <v>0</v>
          </cell>
        </row>
        <row r="1114">
          <cell r="B1114" t="str">
            <v>Anand Krish</v>
          </cell>
          <cell r="I1114" t="str">
            <v>Wrong</v>
          </cell>
          <cell r="J1114">
            <v>1.18</v>
          </cell>
          <cell r="K1114" t="str">
            <v>Medium</v>
          </cell>
          <cell r="AB1114">
            <v>0</v>
          </cell>
        </row>
        <row r="1115">
          <cell r="B1115" t="str">
            <v>Anand Krish</v>
          </cell>
          <cell r="I1115" t="str">
            <v>Correct</v>
          </cell>
          <cell r="J1115">
            <v>2.25</v>
          </cell>
          <cell r="K1115" t="str">
            <v>Medium</v>
          </cell>
          <cell r="AB1115">
            <v>1.6</v>
          </cell>
        </row>
        <row r="1116">
          <cell r="B1116" t="str">
            <v>Anand Krish</v>
          </cell>
          <cell r="I1116" t="str">
            <v>Correct</v>
          </cell>
          <cell r="J1116">
            <v>1.61</v>
          </cell>
          <cell r="K1116" t="str">
            <v>Medium</v>
          </cell>
          <cell r="AB1116">
            <v>2</v>
          </cell>
        </row>
        <row r="1117">
          <cell r="B1117" t="str">
            <v>Anand Krish</v>
          </cell>
          <cell r="I1117" t="str">
            <v>Wrong</v>
          </cell>
          <cell r="J1117">
            <v>1.39</v>
          </cell>
          <cell r="K1117" t="str">
            <v>High</v>
          </cell>
          <cell r="AB1117">
            <v>0</v>
          </cell>
        </row>
        <row r="1118">
          <cell r="B1118" t="str">
            <v>Anand Krish</v>
          </cell>
          <cell r="I1118" t="str">
            <v>Wrong</v>
          </cell>
          <cell r="J1118">
            <v>1.33</v>
          </cell>
          <cell r="K1118" t="str">
            <v>High</v>
          </cell>
          <cell r="AB1118">
            <v>0</v>
          </cell>
        </row>
        <row r="1119">
          <cell r="B1119" t="str">
            <v>Anand Krish</v>
          </cell>
          <cell r="I1119" t="str">
            <v>Wrong</v>
          </cell>
          <cell r="J1119">
            <v>2.11</v>
          </cell>
          <cell r="K1119" t="str">
            <v>High</v>
          </cell>
          <cell r="AB1119">
            <v>0</v>
          </cell>
        </row>
        <row r="1120">
          <cell r="B1120" t="str">
            <v>Anand Krish</v>
          </cell>
          <cell r="I1120" t="str">
            <v>Correct</v>
          </cell>
          <cell r="J1120">
            <v>1.34</v>
          </cell>
          <cell r="K1120" t="str">
            <v>High</v>
          </cell>
          <cell r="AB1120">
            <v>3</v>
          </cell>
        </row>
        <row r="1121">
          <cell r="B1121" t="str">
            <v>Anand Krish</v>
          </cell>
          <cell r="I1121" t="str">
            <v>Wrong</v>
          </cell>
          <cell r="J1121">
            <v>2.21</v>
          </cell>
          <cell r="K1121" t="str">
            <v>High</v>
          </cell>
          <cell r="AB1121">
            <v>0</v>
          </cell>
        </row>
        <row r="1122">
          <cell r="B1122" t="str">
            <v>Bharath Kumar</v>
          </cell>
          <cell r="I1122" t="str">
            <v>Wrong</v>
          </cell>
          <cell r="J1122">
            <v>2</v>
          </cell>
          <cell r="K1122" t="str">
            <v>Low</v>
          </cell>
          <cell r="AB1122">
            <v>0</v>
          </cell>
        </row>
        <row r="1123">
          <cell r="B1123" t="str">
            <v>Bharath Kumar</v>
          </cell>
          <cell r="I1123" t="str">
            <v>Correct</v>
          </cell>
          <cell r="J1123">
            <v>1.23</v>
          </cell>
          <cell r="K1123" t="str">
            <v>Low</v>
          </cell>
          <cell r="AB1123">
            <v>1</v>
          </cell>
        </row>
        <row r="1124">
          <cell r="B1124" t="str">
            <v>Bharath Kumar</v>
          </cell>
          <cell r="I1124" t="str">
            <v>Correct</v>
          </cell>
          <cell r="J1124">
            <v>1.99</v>
          </cell>
          <cell r="K1124" t="str">
            <v>Low</v>
          </cell>
          <cell r="AB1124">
            <v>1.51</v>
          </cell>
        </row>
        <row r="1125">
          <cell r="B1125" t="str">
            <v>Bharath Kumar</v>
          </cell>
          <cell r="I1125" t="str">
            <v>Wrong</v>
          </cell>
          <cell r="J1125">
            <v>1.17</v>
          </cell>
          <cell r="K1125" t="str">
            <v>Low</v>
          </cell>
          <cell r="AB1125">
            <v>0</v>
          </cell>
        </row>
        <row r="1126">
          <cell r="B1126" t="str">
            <v>Bharath Kumar</v>
          </cell>
          <cell r="I1126" t="str">
            <v>Wrong</v>
          </cell>
          <cell r="J1126">
            <v>1.25</v>
          </cell>
          <cell r="K1126" t="str">
            <v>Low</v>
          </cell>
          <cell r="AB1126">
            <v>0</v>
          </cell>
        </row>
        <row r="1127">
          <cell r="B1127" t="str">
            <v>Bharath Kumar</v>
          </cell>
          <cell r="I1127" t="str">
            <v>Wrong</v>
          </cell>
          <cell r="J1127">
            <v>1.7</v>
          </cell>
          <cell r="K1127" t="str">
            <v>Low</v>
          </cell>
          <cell r="AB1127">
            <v>0</v>
          </cell>
        </row>
        <row r="1128">
          <cell r="B1128" t="str">
            <v>Bharath Kumar</v>
          </cell>
          <cell r="I1128" t="str">
            <v>Wrong</v>
          </cell>
          <cell r="J1128">
            <v>1.01</v>
          </cell>
          <cell r="K1128" t="str">
            <v>Low</v>
          </cell>
          <cell r="AB1128">
            <v>0</v>
          </cell>
        </row>
        <row r="1129">
          <cell r="B1129" t="str">
            <v>Bharath Kumar</v>
          </cell>
          <cell r="I1129" t="str">
            <v>Correct</v>
          </cell>
          <cell r="J1129">
            <v>1.94</v>
          </cell>
          <cell r="K1129" t="str">
            <v>Low</v>
          </cell>
          <cell r="AB1129">
            <v>1.55</v>
          </cell>
        </row>
        <row r="1130">
          <cell r="B1130" t="str">
            <v>Bharath Kumar</v>
          </cell>
          <cell r="I1130" t="str">
            <v>Correct</v>
          </cell>
          <cell r="J1130">
            <v>1.5</v>
          </cell>
          <cell r="K1130" t="str">
            <v>Low</v>
          </cell>
          <cell r="AB1130">
            <v>2</v>
          </cell>
        </row>
        <row r="1131">
          <cell r="B1131" t="str">
            <v>Bharath Kumar</v>
          </cell>
          <cell r="I1131" t="str">
            <v>Correct</v>
          </cell>
          <cell r="J1131">
            <v>2.08</v>
          </cell>
          <cell r="K1131" t="str">
            <v>Medium</v>
          </cell>
          <cell r="AB1131">
            <v>1.73</v>
          </cell>
        </row>
        <row r="1132">
          <cell r="B1132" t="str">
            <v>Bharath Kumar</v>
          </cell>
          <cell r="I1132" t="str">
            <v>Wrong</v>
          </cell>
          <cell r="J1132">
            <v>2.04</v>
          </cell>
          <cell r="K1132" t="str">
            <v>Medium</v>
          </cell>
          <cell r="AB1132">
            <v>0</v>
          </cell>
        </row>
        <row r="1133">
          <cell r="B1133" t="str">
            <v>Bharath Kumar</v>
          </cell>
          <cell r="I1133" t="str">
            <v>Wrong</v>
          </cell>
          <cell r="J1133">
            <v>1.99</v>
          </cell>
          <cell r="K1133" t="str">
            <v>Medium</v>
          </cell>
          <cell r="AB1133">
            <v>0</v>
          </cell>
        </row>
        <row r="1134">
          <cell r="B1134" t="str">
            <v>Bharath Kumar</v>
          </cell>
          <cell r="I1134" t="str">
            <v>Correct</v>
          </cell>
          <cell r="J1134">
            <v>1.78</v>
          </cell>
          <cell r="K1134" t="str">
            <v>Medium</v>
          </cell>
          <cell r="AB1134">
            <v>2</v>
          </cell>
        </row>
        <row r="1135">
          <cell r="B1135" t="str">
            <v>Bharath Kumar</v>
          </cell>
          <cell r="I1135" t="str">
            <v>Wrong</v>
          </cell>
          <cell r="J1135">
            <v>1.81</v>
          </cell>
          <cell r="K1135" t="str">
            <v>Medium</v>
          </cell>
          <cell r="AB1135">
            <v>0</v>
          </cell>
        </row>
        <row r="1136">
          <cell r="B1136" t="str">
            <v>Bharath Kumar</v>
          </cell>
          <cell r="I1136" t="str">
            <v>Correct</v>
          </cell>
          <cell r="J1136">
            <v>2.14</v>
          </cell>
          <cell r="K1136" t="str">
            <v>Medium</v>
          </cell>
          <cell r="AB1136">
            <v>1.68</v>
          </cell>
        </row>
        <row r="1137">
          <cell r="B1137" t="str">
            <v>Bharath Kumar</v>
          </cell>
          <cell r="I1137" t="str">
            <v>Wrong</v>
          </cell>
          <cell r="J1137">
            <v>2.56</v>
          </cell>
          <cell r="K1137" t="str">
            <v>High</v>
          </cell>
          <cell r="AB1137">
            <v>0</v>
          </cell>
        </row>
        <row r="1138">
          <cell r="B1138" t="str">
            <v>Bharath Kumar</v>
          </cell>
          <cell r="I1138" t="str">
            <v>Correct</v>
          </cell>
          <cell r="J1138">
            <v>2.39</v>
          </cell>
          <cell r="K1138" t="str">
            <v>High</v>
          </cell>
          <cell r="AB1138">
            <v>2.5099999999999998</v>
          </cell>
        </row>
        <row r="1139">
          <cell r="B1139" t="str">
            <v>Bharath Kumar</v>
          </cell>
          <cell r="I1139" t="str">
            <v>Correct</v>
          </cell>
          <cell r="J1139">
            <v>1.65</v>
          </cell>
          <cell r="K1139" t="str">
            <v>High</v>
          </cell>
          <cell r="AB1139">
            <v>3</v>
          </cell>
        </row>
        <row r="1140">
          <cell r="B1140" t="str">
            <v>Bharath Kumar</v>
          </cell>
          <cell r="I1140" t="str">
            <v>Wrong</v>
          </cell>
          <cell r="J1140">
            <v>2.04</v>
          </cell>
          <cell r="K1140" t="str">
            <v>High</v>
          </cell>
          <cell r="AB1140">
            <v>0</v>
          </cell>
        </row>
        <row r="1141">
          <cell r="B1141" t="str">
            <v>Bharath Kumar</v>
          </cell>
          <cell r="I1141" t="str">
            <v>Wrong</v>
          </cell>
          <cell r="J1141">
            <v>1.71</v>
          </cell>
          <cell r="K1141" t="str">
            <v>High</v>
          </cell>
          <cell r="AB1141">
            <v>0</v>
          </cell>
        </row>
        <row r="1142">
          <cell r="B1142" t="str">
            <v>Chandana S</v>
          </cell>
          <cell r="I1142" t="str">
            <v>Correct</v>
          </cell>
          <cell r="J1142">
            <v>1.51</v>
          </cell>
          <cell r="K1142" t="str">
            <v>Low</v>
          </cell>
          <cell r="AB1142">
            <v>1.99</v>
          </cell>
        </row>
        <row r="1143">
          <cell r="B1143" t="str">
            <v>Chandana S</v>
          </cell>
          <cell r="I1143" t="str">
            <v>Correct</v>
          </cell>
          <cell r="J1143">
            <v>1.21</v>
          </cell>
          <cell r="K1143" t="str">
            <v>Low</v>
          </cell>
          <cell r="AB1143">
            <v>1</v>
          </cell>
        </row>
        <row r="1144">
          <cell r="B1144" t="str">
            <v>Chandana S</v>
          </cell>
          <cell r="I1144" t="str">
            <v>Correct</v>
          </cell>
          <cell r="J1144">
            <v>1.28</v>
          </cell>
          <cell r="K1144" t="str">
            <v>Low</v>
          </cell>
          <cell r="AB1144">
            <v>2</v>
          </cell>
        </row>
        <row r="1145">
          <cell r="B1145" t="str">
            <v>Chandana S</v>
          </cell>
          <cell r="I1145" t="str">
            <v>Correct</v>
          </cell>
          <cell r="J1145">
            <v>1.59</v>
          </cell>
          <cell r="K1145" t="str">
            <v>Low</v>
          </cell>
          <cell r="AB1145">
            <v>0.94</v>
          </cell>
        </row>
        <row r="1146">
          <cell r="B1146" t="str">
            <v>Chandana S</v>
          </cell>
          <cell r="I1146" t="str">
            <v>Correct</v>
          </cell>
          <cell r="J1146">
            <v>1.67</v>
          </cell>
          <cell r="K1146" t="str">
            <v>Low</v>
          </cell>
          <cell r="AB1146">
            <v>0.9</v>
          </cell>
        </row>
        <row r="1147">
          <cell r="B1147" t="str">
            <v>Chandana S</v>
          </cell>
          <cell r="I1147" t="str">
            <v>Correct</v>
          </cell>
          <cell r="J1147">
            <v>1.18</v>
          </cell>
          <cell r="K1147" t="str">
            <v>Low</v>
          </cell>
          <cell r="AB1147">
            <v>2</v>
          </cell>
        </row>
        <row r="1148">
          <cell r="B1148" t="str">
            <v>Chandana S</v>
          </cell>
          <cell r="I1148" t="str">
            <v>Wrong</v>
          </cell>
          <cell r="J1148">
            <v>1.59</v>
          </cell>
          <cell r="K1148" t="str">
            <v>Low</v>
          </cell>
          <cell r="AB1148">
            <v>0</v>
          </cell>
        </row>
        <row r="1149">
          <cell r="B1149" t="str">
            <v>Chandana S</v>
          </cell>
          <cell r="I1149" t="str">
            <v>Correct</v>
          </cell>
          <cell r="J1149">
            <v>1.44</v>
          </cell>
          <cell r="K1149" t="str">
            <v>Low</v>
          </cell>
          <cell r="AB1149">
            <v>2</v>
          </cell>
        </row>
        <row r="1150">
          <cell r="B1150" t="str">
            <v>Chandana S</v>
          </cell>
          <cell r="I1150" t="str">
            <v>Correct</v>
          </cell>
          <cell r="J1150">
            <v>1.47</v>
          </cell>
          <cell r="K1150" t="str">
            <v>Low</v>
          </cell>
          <cell r="AB1150">
            <v>2</v>
          </cell>
        </row>
        <row r="1151">
          <cell r="B1151" t="str">
            <v>Chandana S</v>
          </cell>
          <cell r="I1151" t="str">
            <v>Correct</v>
          </cell>
          <cell r="J1151">
            <v>1.33</v>
          </cell>
          <cell r="K1151" t="str">
            <v>Medium</v>
          </cell>
          <cell r="AB1151">
            <v>2</v>
          </cell>
        </row>
        <row r="1152">
          <cell r="B1152" t="str">
            <v>Chandana S</v>
          </cell>
          <cell r="I1152" t="str">
            <v>Wrong</v>
          </cell>
          <cell r="J1152">
            <v>1.84</v>
          </cell>
          <cell r="K1152" t="str">
            <v>Medium</v>
          </cell>
          <cell r="AB1152">
            <v>0</v>
          </cell>
        </row>
        <row r="1153">
          <cell r="B1153" t="str">
            <v>Chandana S</v>
          </cell>
          <cell r="I1153" t="str">
            <v>Correct</v>
          </cell>
          <cell r="J1153">
            <v>1.36</v>
          </cell>
          <cell r="K1153" t="str">
            <v>Medium</v>
          </cell>
          <cell r="AB1153">
            <v>2</v>
          </cell>
        </row>
        <row r="1154">
          <cell r="B1154" t="str">
            <v>Chandana S</v>
          </cell>
          <cell r="I1154" t="str">
            <v>Correct</v>
          </cell>
          <cell r="J1154">
            <v>2.2000000000000002</v>
          </cell>
          <cell r="K1154" t="str">
            <v>Medium</v>
          </cell>
          <cell r="AB1154">
            <v>1.64</v>
          </cell>
        </row>
        <row r="1155">
          <cell r="B1155" t="str">
            <v>Chandana S</v>
          </cell>
          <cell r="I1155" t="str">
            <v>Correct</v>
          </cell>
          <cell r="J1155">
            <v>2.14</v>
          </cell>
          <cell r="K1155" t="str">
            <v>Medium</v>
          </cell>
          <cell r="AB1155">
            <v>1.68</v>
          </cell>
        </row>
        <row r="1156">
          <cell r="B1156" t="str">
            <v>Chandana S</v>
          </cell>
          <cell r="I1156" t="str">
            <v>Wrong</v>
          </cell>
          <cell r="J1156">
            <v>1.36</v>
          </cell>
          <cell r="K1156" t="str">
            <v>Medium</v>
          </cell>
          <cell r="AB1156">
            <v>0</v>
          </cell>
        </row>
        <row r="1157">
          <cell r="B1157" t="str">
            <v>Chandana S</v>
          </cell>
          <cell r="I1157" t="str">
            <v>Correct</v>
          </cell>
          <cell r="J1157">
            <v>2.59</v>
          </cell>
          <cell r="K1157" t="str">
            <v>High</v>
          </cell>
          <cell r="AB1157">
            <v>2.3199999999999998</v>
          </cell>
        </row>
        <row r="1158">
          <cell r="B1158" t="str">
            <v>Chandana S</v>
          </cell>
          <cell r="I1158" t="str">
            <v>Correct</v>
          </cell>
          <cell r="J1158">
            <v>1.63</v>
          </cell>
          <cell r="K1158" t="str">
            <v>High</v>
          </cell>
          <cell r="AB1158">
            <v>3</v>
          </cell>
        </row>
        <row r="1159">
          <cell r="B1159" t="str">
            <v>Chandana S</v>
          </cell>
          <cell r="I1159" t="str">
            <v>Correct</v>
          </cell>
          <cell r="J1159">
            <v>2.0699999999999998</v>
          </cell>
          <cell r="K1159" t="str">
            <v>High</v>
          </cell>
          <cell r="AB1159">
            <v>2.9</v>
          </cell>
        </row>
        <row r="1160">
          <cell r="B1160" t="str">
            <v>Chandana S</v>
          </cell>
          <cell r="I1160" t="str">
            <v>Wrong</v>
          </cell>
          <cell r="J1160">
            <v>2.4700000000000002</v>
          </cell>
          <cell r="K1160" t="str">
            <v>High</v>
          </cell>
          <cell r="AB1160">
            <v>0</v>
          </cell>
        </row>
        <row r="1161">
          <cell r="B1161" t="str">
            <v>Chandana S</v>
          </cell>
          <cell r="I1161" t="str">
            <v>Correct</v>
          </cell>
          <cell r="J1161">
            <v>2.0299999999999998</v>
          </cell>
          <cell r="K1161" t="str">
            <v>High</v>
          </cell>
          <cell r="AB1161">
            <v>2.96</v>
          </cell>
        </row>
        <row r="1162">
          <cell r="B1162" t="str">
            <v>Dharun Raj</v>
          </cell>
          <cell r="I1162" t="str">
            <v>Correct</v>
          </cell>
          <cell r="J1162">
            <v>0.96</v>
          </cell>
          <cell r="K1162" t="str">
            <v>Low</v>
          </cell>
          <cell r="AB1162">
            <v>2</v>
          </cell>
        </row>
        <row r="1163">
          <cell r="B1163" t="str">
            <v>Dharun Raj</v>
          </cell>
          <cell r="I1163" t="str">
            <v>Correct</v>
          </cell>
          <cell r="J1163">
            <v>1.17</v>
          </cell>
          <cell r="K1163" t="str">
            <v>Low</v>
          </cell>
          <cell r="AB1163">
            <v>1</v>
          </cell>
        </row>
        <row r="1164">
          <cell r="B1164" t="str">
            <v>Dharun Raj</v>
          </cell>
          <cell r="I1164" t="str">
            <v>Wrong</v>
          </cell>
          <cell r="J1164">
            <v>1.34</v>
          </cell>
          <cell r="K1164" t="str">
            <v>Low</v>
          </cell>
          <cell r="AB1164">
            <v>0</v>
          </cell>
        </row>
        <row r="1165">
          <cell r="B1165" t="str">
            <v>Dharun Raj</v>
          </cell>
          <cell r="I1165" t="str">
            <v>Correct</v>
          </cell>
          <cell r="J1165">
            <v>1.2</v>
          </cell>
          <cell r="K1165" t="str">
            <v>Low</v>
          </cell>
          <cell r="AB1165">
            <v>1</v>
          </cell>
        </row>
        <row r="1166">
          <cell r="B1166" t="str">
            <v>Dharun Raj</v>
          </cell>
          <cell r="I1166" t="str">
            <v>Correct</v>
          </cell>
          <cell r="J1166">
            <v>0.9</v>
          </cell>
          <cell r="K1166" t="str">
            <v>Low</v>
          </cell>
          <cell r="AB1166">
            <v>1</v>
          </cell>
        </row>
        <row r="1167">
          <cell r="B1167" t="str">
            <v>Dharun Raj</v>
          </cell>
          <cell r="I1167" t="str">
            <v>Correct</v>
          </cell>
          <cell r="J1167">
            <v>1.1200000000000001</v>
          </cell>
          <cell r="K1167" t="str">
            <v>Low</v>
          </cell>
          <cell r="AB1167">
            <v>2</v>
          </cell>
        </row>
        <row r="1168">
          <cell r="B1168" t="str">
            <v>Dharun Raj</v>
          </cell>
          <cell r="I1168" t="str">
            <v>Correct</v>
          </cell>
          <cell r="J1168">
            <v>0.94</v>
          </cell>
          <cell r="K1168" t="str">
            <v>Low</v>
          </cell>
          <cell r="AB1168">
            <v>1</v>
          </cell>
        </row>
        <row r="1169">
          <cell r="B1169" t="str">
            <v>Dharun Raj</v>
          </cell>
          <cell r="I1169" t="str">
            <v>Correct</v>
          </cell>
          <cell r="J1169">
            <v>1.41</v>
          </cell>
          <cell r="K1169" t="str">
            <v>Low</v>
          </cell>
          <cell r="AB1169">
            <v>2</v>
          </cell>
        </row>
        <row r="1170">
          <cell r="B1170" t="str">
            <v>Dharun Raj</v>
          </cell>
          <cell r="I1170" t="str">
            <v>Correct</v>
          </cell>
          <cell r="J1170">
            <v>1.21</v>
          </cell>
          <cell r="K1170" t="str">
            <v>Low</v>
          </cell>
          <cell r="AB1170">
            <v>2</v>
          </cell>
        </row>
        <row r="1171">
          <cell r="B1171" t="str">
            <v>Dharun Raj</v>
          </cell>
          <cell r="I1171" t="str">
            <v>Correct</v>
          </cell>
          <cell r="J1171">
            <v>1.54</v>
          </cell>
          <cell r="K1171" t="str">
            <v>Medium</v>
          </cell>
          <cell r="AB1171">
            <v>2</v>
          </cell>
        </row>
        <row r="1172">
          <cell r="B1172" t="str">
            <v>Dharun Raj</v>
          </cell>
          <cell r="I1172" t="str">
            <v>Correct</v>
          </cell>
          <cell r="J1172">
            <v>1.46</v>
          </cell>
          <cell r="K1172" t="str">
            <v>Medium</v>
          </cell>
          <cell r="AB1172">
            <v>2</v>
          </cell>
        </row>
        <row r="1173">
          <cell r="B1173" t="str">
            <v>Dharun Raj</v>
          </cell>
          <cell r="I1173" t="str">
            <v>Correct</v>
          </cell>
          <cell r="J1173">
            <v>1.67</v>
          </cell>
          <cell r="K1173" t="str">
            <v>Medium</v>
          </cell>
          <cell r="AB1173">
            <v>2</v>
          </cell>
        </row>
        <row r="1174">
          <cell r="B1174" t="str">
            <v>Dharun Raj</v>
          </cell>
          <cell r="I1174" t="str">
            <v>Correct</v>
          </cell>
          <cell r="J1174">
            <v>1.64</v>
          </cell>
          <cell r="K1174" t="str">
            <v>Medium</v>
          </cell>
          <cell r="AB1174">
            <v>2</v>
          </cell>
        </row>
        <row r="1175">
          <cell r="B1175" t="str">
            <v>Dharun Raj</v>
          </cell>
          <cell r="I1175" t="str">
            <v>Wrong</v>
          </cell>
          <cell r="J1175">
            <v>1.38</v>
          </cell>
          <cell r="K1175" t="str">
            <v>Medium</v>
          </cell>
          <cell r="AB1175">
            <v>0</v>
          </cell>
        </row>
        <row r="1176">
          <cell r="B1176" t="str">
            <v>Dharun Raj</v>
          </cell>
          <cell r="I1176" t="str">
            <v>Correct</v>
          </cell>
          <cell r="J1176">
            <v>1.56</v>
          </cell>
          <cell r="K1176" t="str">
            <v>Medium</v>
          </cell>
          <cell r="AB1176">
            <v>2</v>
          </cell>
        </row>
        <row r="1177">
          <cell r="B1177" t="str">
            <v>Dharun Raj</v>
          </cell>
          <cell r="I1177" t="str">
            <v>Wrong</v>
          </cell>
          <cell r="J1177">
            <v>1.4</v>
          </cell>
          <cell r="K1177" t="str">
            <v>High</v>
          </cell>
          <cell r="AB1177">
            <v>0</v>
          </cell>
        </row>
        <row r="1178">
          <cell r="B1178" t="str">
            <v>Dharun Raj</v>
          </cell>
          <cell r="I1178" t="str">
            <v>Correct</v>
          </cell>
          <cell r="J1178">
            <v>2.15</v>
          </cell>
          <cell r="K1178" t="str">
            <v>High</v>
          </cell>
          <cell r="AB1178">
            <v>2.79</v>
          </cell>
        </row>
        <row r="1179">
          <cell r="B1179" t="str">
            <v>Dharun Raj</v>
          </cell>
          <cell r="I1179" t="str">
            <v>Correct</v>
          </cell>
          <cell r="J1179">
            <v>2.19</v>
          </cell>
          <cell r="K1179" t="str">
            <v>High</v>
          </cell>
          <cell r="AB1179">
            <v>2.74</v>
          </cell>
        </row>
        <row r="1180">
          <cell r="B1180" t="str">
            <v>Dharun Raj</v>
          </cell>
          <cell r="I1180" t="str">
            <v>Correct</v>
          </cell>
          <cell r="J1180">
            <v>1.28</v>
          </cell>
          <cell r="K1180" t="str">
            <v>High</v>
          </cell>
          <cell r="AB1180">
            <v>3</v>
          </cell>
        </row>
        <row r="1181">
          <cell r="B1181" t="str">
            <v>Dharun Raj</v>
          </cell>
          <cell r="I1181" t="str">
            <v>Correct</v>
          </cell>
          <cell r="J1181">
            <v>2.59</v>
          </cell>
          <cell r="K1181" t="str">
            <v>High</v>
          </cell>
          <cell r="AB1181">
            <v>2.3199999999999998</v>
          </cell>
        </row>
        <row r="1182">
          <cell r="B1182" t="str">
            <v>Elakkiya M</v>
          </cell>
          <cell r="I1182" t="str">
            <v>Correct</v>
          </cell>
          <cell r="J1182">
            <v>1.25</v>
          </cell>
          <cell r="K1182" t="str">
            <v>Low</v>
          </cell>
          <cell r="AB1182">
            <v>2</v>
          </cell>
        </row>
        <row r="1183">
          <cell r="B1183" t="str">
            <v>Elakkiya M</v>
          </cell>
          <cell r="I1183" t="str">
            <v>Correct</v>
          </cell>
          <cell r="J1183">
            <v>1.54</v>
          </cell>
          <cell r="K1183" t="str">
            <v>Low</v>
          </cell>
          <cell r="AB1183">
            <v>0.97</v>
          </cell>
        </row>
        <row r="1184">
          <cell r="B1184" t="str">
            <v>Elakkiya M</v>
          </cell>
          <cell r="I1184" t="str">
            <v>Wrong</v>
          </cell>
          <cell r="J1184">
            <v>1.21</v>
          </cell>
          <cell r="K1184" t="str">
            <v>Low</v>
          </cell>
          <cell r="AB1184">
            <v>0</v>
          </cell>
        </row>
        <row r="1185">
          <cell r="B1185" t="str">
            <v>Elakkiya M</v>
          </cell>
          <cell r="I1185" t="str">
            <v>Correct</v>
          </cell>
          <cell r="J1185">
            <v>1.86</v>
          </cell>
          <cell r="K1185" t="str">
            <v>Low</v>
          </cell>
          <cell r="AB1185">
            <v>0.81</v>
          </cell>
        </row>
        <row r="1186">
          <cell r="B1186" t="str">
            <v>Elakkiya M</v>
          </cell>
          <cell r="I1186" t="str">
            <v>Wrong</v>
          </cell>
          <cell r="J1186">
            <v>1.21</v>
          </cell>
          <cell r="K1186" t="str">
            <v>Low</v>
          </cell>
          <cell r="AB1186">
            <v>0</v>
          </cell>
        </row>
        <row r="1187">
          <cell r="B1187" t="str">
            <v>Elakkiya M</v>
          </cell>
          <cell r="I1187" t="str">
            <v>Correct</v>
          </cell>
          <cell r="J1187">
            <v>1.06</v>
          </cell>
          <cell r="K1187" t="str">
            <v>Low</v>
          </cell>
          <cell r="AB1187">
            <v>2</v>
          </cell>
        </row>
        <row r="1188">
          <cell r="B1188" t="str">
            <v>Elakkiya M</v>
          </cell>
          <cell r="I1188" t="str">
            <v>Correct</v>
          </cell>
          <cell r="J1188">
            <v>1.69</v>
          </cell>
          <cell r="K1188" t="str">
            <v>Low</v>
          </cell>
          <cell r="AB1188">
            <v>0.89</v>
          </cell>
        </row>
        <row r="1189">
          <cell r="B1189" t="str">
            <v>Elakkiya M</v>
          </cell>
          <cell r="I1189" t="str">
            <v>Correct</v>
          </cell>
          <cell r="J1189">
            <v>1.62</v>
          </cell>
          <cell r="K1189" t="str">
            <v>Low</v>
          </cell>
          <cell r="AB1189">
            <v>1.85</v>
          </cell>
        </row>
        <row r="1190">
          <cell r="B1190" t="str">
            <v>Elakkiya M</v>
          </cell>
          <cell r="I1190" t="str">
            <v>Correct</v>
          </cell>
          <cell r="J1190">
            <v>1.76</v>
          </cell>
          <cell r="K1190" t="str">
            <v>Low</v>
          </cell>
          <cell r="AB1190">
            <v>1.7</v>
          </cell>
        </row>
        <row r="1191">
          <cell r="B1191" t="str">
            <v>Elakkiya M</v>
          </cell>
          <cell r="I1191" t="str">
            <v>Correct</v>
          </cell>
          <cell r="J1191">
            <v>1.21</v>
          </cell>
          <cell r="K1191" t="str">
            <v>Medium</v>
          </cell>
          <cell r="AB1191">
            <v>2</v>
          </cell>
        </row>
        <row r="1192">
          <cell r="B1192" t="str">
            <v>Elakkiya M</v>
          </cell>
          <cell r="I1192" t="str">
            <v>Correct</v>
          </cell>
          <cell r="J1192">
            <v>1.79</v>
          </cell>
          <cell r="K1192" t="str">
            <v>Medium</v>
          </cell>
          <cell r="AB1192">
            <v>2</v>
          </cell>
        </row>
        <row r="1193">
          <cell r="B1193" t="str">
            <v>Elakkiya M</v>
          </cell>
          <cell r="I1193" t="str">
            <v>Correct</v>
          </cell>
          <cell r="J1193">
            <v>1.1399999999999999</v>
          </cell>
          <cell r="K1193" t="str">
            <v>Medium</v>
          </cell>
          <cell r="AB1193">
            <v>2</v>
          </cell>
        </row>
        <row r="1194">
          <cell r="B1194" t="str">
            <v>Elakkiya M</v>
          </cell>
          <cell r="I1194" t="str">
            <v>Wrong</v>
          </cell>
          <cell r="J1194">
            <v>1.87</v>
          </cell>
          <cell r="K1194" t="str">
            <v>Medium</v>
          </cell>
          <cell r="AB1194">
            <v>0</v>
          </cell>
        </row>
        <row r="1195">
          <cell r="B1195" t="str">
            <v>Elakkiya M</v>
          </cell>
          <cell r="I1195" t="str">
            <v>Correct</v>
          </cell>
          <cell r="J1195">
            <v>1.29</v>
          </cell>
          <cell r="K1195" t="str">
            <v>Medium</v>
          </cell>
          <cell r="AB1195">
            <v>2</v>
          </cell>
        </row>
        <row r="1196">
          <cell r="B1196" t="str">
            <v>Elakkiya M</v>
          </cell>
          <cell r="I1196" t="str">
            <v>Correct</v>
          </cell>
          <cell r="J1196">
            <v>1.42</v>
          </cell>
          <cell r="K1196" t="str">
            <v>Medium</v>
          </cell>
          <cell r="AB1196">
            <v>2</v>
          </cell>
        </row>
        <row r="1197">
          <cell r="B1197" t="str">
            <v>Elakkiya M</v>
          </cell>
          <cell r="I1197" t="str">
            <v>Correct</v>
          </cell>
          <cell r="J1197">
            <v>1.58</v>
          </cell>
          <cell r="K1197" t="str">
            <v>High</v>
          </cell>
          <cell r="AB1197">
            <v>3</v>
          </cell>
        </row>
        <row r="1198">
          <cell r="B1198" t="str">
            <v>Elakkiya M</v>
          </cell>
          <cell r="I1198" t="str">
            <v>Wrong</v>
          </cell>
          <cell r="J1198">
            <v>1.99</v>
          </cell>
          <cell r="K1198" t="str">
            <v>High</v>
          </cell>
          <cell r="AB1198">
            <v>0</v>
          </cell>
        </row>
        <row r="1199">
          <cell r="B1199" t="str">
            <v>Elakkiya M</v>
          </cell>
          <cell r="I1199" t="str">
            <v>Wrong</v>
          </cell>
          <cell r="J1199">
            <v>1.79</v>
          </cell>
          <cell r="K1199" t="str">
            <v>High</v>
          </cell>
          <cell r="AB1199">
            <v>0</v>
          </cell>
        </row>
        <row r="1200">
          <cell r="B1200" t="str">
            <v>Elakkiya M</v>
          </cell>
          <cell r="I1200" t="str">
            <v>Correct</v>
          </cell>
          <cell r="J1200">
            <v>1.66</v>
          </cell>
          <cell r="K1200" t="str">
            <v>High</v>
          </cell>
          <cell r="AB1200">
            <v>3</v>
          </cell>
        </row>
        <row r="1201">
          <cell r="B1201" t="str">
            <v>Elakkiya M</v>
          </cell>
          <cell r="I1201" t="str">
            <v>Correct</v>
          </cell>
          <cell r="J1201">
            <v>1.49</v>
          </cell>
          <cell r="K1201" t="str">
            <v>High</v>
          </cell>
          <cell r="AB1201">
            <v>3</v>
          </cell>
        </row>
        <row r="1202">
          <cell r="B1202" t="str">
            <v>Gokul Krishna</v>
          </cell>
          <cell r="I1202" t="str">
            <v>Correct</v>
          </cell>
          <cell r="J1202">
            <v>1.67</v>
          </cell>
          <cell r="K1202" t="str">
            <v>Low</v>
          </cell>
          <cell r="AB1202">
            <v>1.8</v>
          </cell>
        </row>
        <row r="1203">
          <cell r="B1203" t="str">
            <v>Gokul Krishna</v>
          </cell>
          <cell r="I1203" t="str">
            <v>Correct</v>
          </cell>
          <cell r="J1203">
            <v>1.25</v>
          </cell>
          <cell r="K1203" t="str">
            <v>Low</v>
          </cell>
          <cell r="AB1203">
            <v>1</v>
          </cell>
        </row>
        <row r="1204">
          <cell r="B1204" t="str">
            <v>Gokul Krishna</v>
          </cell>
          <cell r="I1204" t="str">
            <v>Wrong</v>
          </cell>
          <cell r="J1204">
            <v>1.26</v>
          </cell>
          <cell r="K1204" t="str">
            <v>Low</v>
          </cell>
          <cell r="AB1204">
            <v>0</v>
          </cell>
        </row>
        <row r="1205">
          <cell r="B1205" t="str">
            <v>Gokul Krishna</v>
          </cell>
          <cell r="I1205" t="str">
            <v>Correct</v>
          </cell>
          <cell r="J1205">
            <v>1.3</v>
          </cell>
          <cell r="K1205" t="str">
            <v>Low</v>
          </cell>
          <cell r="AB1205">
            <v>1</v>
          </cell>
        </row>
        <row r="1206">
          <cell r="B1206" t="str">
            <v>Gokul Krishna</v>
          </cell>
          <cell r="I1206" t="str">
            <v>Correct</v>
          </cell>
          <cell r="J1206">
            <v>1.65</v>
          </cell>
          <cell r="K1206" t="str">
            <v>Low</v>
          </cell>
          <cell r="AB1206">
            <v>0.91</v>
          </cell>
        </row>
        <row r="1207">
          <cell r="B1207" t="str">
            <v>Gokul Krishna</v>
          </cell>
          <cell r="I1207" t="str">
            <v>Correct</v>
          </cell>
          <cell r="J1207">
            <v>1.56</v>
          </cell>
          <cell r="K1207" t="str">
            <v>Low</v>
          </cell>
          <cell r="AB1207">
            <v>1.92</v>
          </cell>
        </row>
        <row r="1208">
          <cell r="B1208" t="str">
            <v>Gokul Krishna</v>
          </cell>
          <cell r="I1208" t="str">
            <v>Correct</v>
          </cell>
          <cell r="J1208">
            <v>0.94</v>
          </cell>
          <cell r="K1208" t="str">
            <v>Low</v>
          </cell>
          <cell r="AB1208">
            <v>1</v>
          </cell>
        </row>
        <row r="1209">
          <cell r="B1209" t="str">
            <v>Gokul Krishna</v>
          </cell>
          <cell r="I1209" t="str">
            <v>Correct</v>
          </cell>
          <cell r="J1209">
            <v>1.73</v>
          </cell>
          <cell r="K1209" t="str">
            <v>Low</v>
          </cell>
          <cell r="AB1209">
            <v>1.73</v>
          </cell>
        </row>
        <row r="1210">
          <cell r="B1210" t="str">
            <v>Gokul Krishna</v>
          </cell>
          <cell r="I1210" t="str">
            <v>Correct</v>
          </cell>
          <cell r="J1210">
            <v>1.17</v>
          </cell>
          <cell r="K1210" t="str">
            <v>Low</v>
          </cell>
          <cell r="AB1210">
            <v>2</v>
          </cell>
        </row>
        <row r="1211">
          <cell r="B1211" t="str">
            <v>Gokul Krishna</v>
          </cell>
          <cell r="I1211" t="str">
            <v>Correct</v>
          </cell>
          <cell r="J1211">
            <v>2.2200000000000002</v>
          </cell>
          <cell r="K1211" t="str">
            <v>Medium</v>
          </cell>
          <cell r="AB1211">
            <v>1.62</v>
          </cell>
        </row>
        <row r="1212">
          <cell r="B1212" t="str">
            <v>Gokul Krishna</v>
          </cell>
          <cell r="I1212" t="str">
            <v>Correct</v>
          </cell>
          <cell r="J1212">
            <v>1.45</v>
          </cell>
          <cell r="K1212" t="str">
            <v>Medium</v>
          </cell>
          <cell r="AB1212">
            <v>2</v>
          </cell>
        </row>
        <row r="1213">
          <cell r="B1213" t="str">
            <v>Gokul Krishna</v>
          </cell>
          <cell r="I1213" t="str">
            <v>Correct</v>
          </cell>
          <cell r="J1213">
            <v>1.43</v>
          </cell>
          <cell r="K1213" t="str">
            <v>Medium</v>
          </cell>
          <cell r="AB1213">
            <v>2</v>
          </cell>
        </row>
        <row r="1214">
          <cell r="B1214" t="str">
            <v>Gokul Krishna</v>
          </cell>
          <cell r="I1214" t="str">
            <v>Wrong</v>
          </cell>
          <cell r="J1214">
            <v>1.5</v>
          </cell>
          <cell r="K1214" t="str">
            <v>Medium</v>
          </cell>
          <cell r="AB1214">
            <v>0</v>
          </cell>
        </row>
        <row r="1215">
          <cell r="B1215" t="str">
            <v>Gokul Krishna</v>
          </cell>
          <cell r="I1215" t="str">
            <v>Correct</v>
          </cell>
          <cell r="J1215">
            <v>1.84</v>
          </cell>
          <cell r="K1215" t="str">
            <v>Medium</v>
          </cell>
          <cell r="AB1215">
            <v>1.96</v>
          </cell>
        </row>
        <row r="1216">
          <cell r="B1216" t="str">
            <v>Gokul Krishna</v>
          </cell>
          <cell r="I1216" t="str">
            <v>Correct</v>
          </cell>
          <cell r="J1216">
            <v>2.2599999999999998</v>
          </cell>
          <cell r="K1216" t="str">
            <v>Medium</v>
          </cell>
          <cell r="AB1216">
            <v>1.59</v>
          </cell>
        </row>
        <row r="1217">
          <cell r="B1217" t="str">
            <v>Gokul Krishna</v>
          </cell>
          <cell r="I1217" t="str">
            <v>Correct</v>
          </cell>
          <cell r="J1217">
            <v>2.59</v>
          </cell>
          <cell r="K1217" t="str">
            <v>High</v>
          </cell>
          <cell r="AB1217">
            <v>2.3199999999999998</v>
          </cell>
        </row>
        <row r="1218">
          <cell r="B1218" t="str">
            <v>Gokul Krishna</v>
          </cell>
          <cell r="I1218" t="str">
            <v>Correct</v>
          </cell>
          <cell r="J1218">
            <v>1.26</v>
          </cell>
          <cell r="K1218" t="str">
            <v>High</v>
          </cell>
          <cell r="AB1218">
            <v>3</v>
          </cell>
        </row>
        <row r="1219">
          <cell r="B1219" t="str">
            <v>Gokul Krishna</v>
          </cell>
          <cell r="I1219" t="str">
            <v>Correct</v>
          </cell>
          <cell r="J1219">
            <v>1.86</v>
          </cell>
          <cell r="K1219" t="str">
            <v>High</v>
          </cell>
          <cell r="AB1219">
            <v>3</v>
          </cell>
        </row>
        <row r="1220">
          <cell r="B1220" t="str">
            <v>Gokul Krishna</v>
          </cell>
          <cell r="I1220" t="str">
            <v>Wrong</v>
          </cell>
          <cell r="J1220">
            <v>2.5299999999999998</v>
          </cell>
          <cell r="K1220" t="str">
            <v>High</v>
          </cell>
          <cell r="AB1220">
            <v>0</v>
          </cell>
        </row>
        <row r="1221">
          <cell r="B1221" t="str">
            <v>Gokul Krishna</v>
          </cell>
          <cell r="I1221" t="str">
            <v>Correct</v>
          </cell>
          <cell r="J1221">
            <v>1.58</v>
          </cell>
          <cell r="K1221" t="str">
            <v>High</v>
          </cell>
          <cell r="AB1221">
            <v>3</v>
          </cell>
        </row>
        <row r="1222">
          <cell r="B1222" t="str">
            <v>Harisankar P</v>
          </cell>
          <cell r="I1222" t="str">
            <v>Wrong</v>
          </cell>
          <cell r="J1222">
            <v>1.85</v>
          </cell>
          <cell r="K1222" t="str">
            <v>Low</v>
          </cell>
          <cell r="AB1222">
            <v>0</v>
          </cell>
        </row>
        <row r="1223">
          <cell r="B1223" t="str">
            <v>Harisankar P</v>
          </cell>
          <cell r="I1223" t="str">
            <v>Correct</v>
          </cell>
          <cell r="J1223">
            <v>1.85</v>
          </cell>
          <cell r="K1223" t="str">
            <v>Low</v>
          </cell>
          <cell r="AB1223">
            <v>0.81</v>
          </cell>
        </row>
        <row r="1224">
          <cell r="B1224" t="str">
            <v>Harisankar P</v>
          </cell>
          <cell r="I1224" t="str">
            <v>Correct</v>
          </cell>
          <cell r="J1224">
            <v>1.22</v>
          </cell>
          <cell r="K1224" t="str">
            <v>Low</v>
          </cell>
          <cell r="AB1224">
            <v>2</v>
          </cell>
        </row>
        <row r="1225">
          <cell r="B1225" t="str">
            <v>Harisankar P</v>
          </cell>
          <cell r="I1225" t="str">
            <v>Correct</v>
          </cell>
          <cell r="J1225">
            <v>1.3</v>
          </cell>
          <cell r="K1225" t="str">
            <v>Low</v>
          </cell>
          <cell r="AB1225">
            <v>1</v>
          </cell>
        </row>
        <row r="1226">
          <cell r="B1226" t="str">
            <v>Harisankar P</v>
          </cell>
          <cell r="I1226" t="str">
            <v>Correct</v>
          </cell>
          <cell r="J1226">
            <v>1.37</v>
          </cell>
          <cell r="K1226" t="str">
            <v>Low</v>
          </cell>
          <cell r="AB1226">
            <v>1</v>
          </cell>
        </row>
        <row r="1227">
          <cell r="B1227" t="str">
            <v>Harisankar P</v>
          </cell>
          <cell r="I1227" t="str">
            <v>Correct</v>
          </cell>
          <cell r="J1227">
            <v>1.07</v>
          </cell>
          <cell r="K1227" t="str">
            <v>Low</v>
          </cell>
          <cell r="AB1227">
            <v>2</v>
          </cell>
        </row>
        <row r="1228">
          <cell r="B1228" t="str">
            <v>Harisankar P</v>
          </cell>
          <cell r="I1228" t="str">
            <v>Correct</v>
          </cell>
          <cell r="J1228">
            <v>1.35</v>
          </cell>
          <cell r="K1228" t="str">
            <v>Low</v>
          </cell>
          <cell r="AB1228">
            <v>1</v>
          </cell>
        </row>
        <row r="1229">
          <cell r="B1229" t="str">
            <v>Harisankar P</v>
          </cell>
          <cell r="I1229" t="str">
            <v>Correct</v>
          </cell>
          <cell r="J1229">
            <v>1.95</v>
          </cell>
          <cell r="K1229" t="str">
            <v>Low</v>
          </cell>
          <cell r="AB1229">
            <v>1.54</v>
          </cell>
        </row>
        <row r="1230">
          <cell r="B1230" t="str">
            <v>Harisankar P</v>
          </cell>
          <cell r="I1230" t="str">
            <v>Correct</v>
          </cell>
          <cell r="J1230">
            <v>1.27</v>
          </cell>
          <cell r="K1230" t="str">
            <v>Low</v>
          </cell>
          <cell r="AB1230">
            <v>2</v>
          </cell>
        </row>
        <row r="1231">
          <cell r="B1231" t="str">
            <v>Harisankar P</v>
          </cell>
          <cell r="I1231" t="str">
            <v>Correct</v>
          </cell>
          <cell r="J1231">
            <v>2.2599999999999998</v>
          </cell>
          <cell r="K1231" t="str">
            <v>Medium</v>
          </cell>
          <cell r="AB1231">
            <v>1.59</v>
          </cell>
        </row>
        <row r="1232">
          <cell r="B1232" t="str">
            <v>Harisankar P</v>
          </cell>
          <cell r="I1232" t="str">
            <v>Wrong</v>
          </cell>
          <cell r="J1232">
            <v>1.65</v>
          </cell>
          <cell r="K1232" t="str">
            <v>Medium</v>
          </cell>
          <cell r="AB1232">
            <v>0</v>
          </cell>
        </row>
        <row r="1233">
          <cell r="B1233" t="str">
            <v>Harisankar P</v>
          </cell>
          <cell r="I1233" t="str">
            <v>Correct</v>
          </cell>
          <cell r="J1233">
            <v>1.23</v>
          </cell>
          <cell r="K1233" t="str">
            <v>Medium</v>
          </cell>
          <cell r="AB1233">
            <v>2</v>
          </cell>
        </row>
        <row r="1234">
          <cell r="B1234" t="str">
            <v>Harisankar P</v>
          </cell>
          <cell r="I1234" t="str">
            <v>Correct</v>
          </cell>
          <cell r="J1234">
            <v>1.1599999999999999</v>
          </cell>
          <cell r="K1234" t="str">
            <v>Medium</v>
          </cell>
          <cell r="AB1234">
            <v>2</v>
          </cell>
        </row>
        <row r="1235">
          <cell r="B1235" t="str">
            <v>Harisankar P</v>
          </cell>
          <cell r="I1235" t="str">
            <v>Correct</v>
          </cell>
          <cell r="J1235">
            <v>1.23</v>
          </cell>
          <cell r="K1235" t="str">
            <v>Medium</v>
          </cell>
          <cell r="AB1235">
            <v>2</v>
          </cell>
        </row>
        <row r="1236">
          <cell r="B1236" t="str">
            <v>Harisankar P</v>
          </cell>
          <cell r="I1236" t="str">
            <v>Wrong</v>
          </cell>
          <cell r="J1236">
            <v>2.0099999999999998</v>
          </cell>
          <cell r="K1236" t="str">
            <v>Medium</v>
          </cell>
          <cell r="AB1236">
            <v>0</v>
          </cell>
        </row>
        <row r="1237">
          <cell r="B1237" t="str">
            <v>Harisankar P</v>
          </cell>
          <cell r="I1237" t="str">
            <v>Wrong</v>
          </cell>
          <cell r="J1237">
            <v>1.84</v>
          </cell>
          <cell r="K1237" t="str">
            <v>High</v>
          </cell>
          <cell r="AB1237">
            <v>0</v>
          </cell>
        </row>
        <row r="1238">
          <cell r="B1238" t="str">
            <v>Harisankar P</v>
          </cell>
          <cell r="I1238" t="str">
            <v>Wrong</v>
          </cell>
          <cell r="J1238">
            <v>1.21</v>
          </cell>
          <cell r="K1238" t="str">
            <v>High</v>
          </cell>
          <cell r="AB1238">
            <v>0</v>
          </cell>
        </row>
        <row r="1239">
          <cell r="B1239" t="str">
            <v>Harisankar P</v>
          </cell>
          <cell r="I1239" t="str">
            <v>Wrong</v>
          </cell>
          <cell r="J1239">
            <v>1.4</v>
          </cell>
          <cell r="K1239" t="str">
            <v>High</v>
          </cell>
          <cell r="AB1239">
            <v>0</v>
          </cell>
        </row>
        <row r="1240">
          <cell r="B1240" t="str">
            <v>Harisankar P</v>
          </cell>
          <cell r="I1240" t="str">
            <v>Wrong</v>
          </cell>
          <cell r="J1240">
            <v>2.4900000000000002</v>
          </cell>
          <cell r="K1240" t="str">
            <v>High</v>
          </cell>
          <cell r="AB1240">
            <v>0</v>
          </cell>
        </row>
        <row r="1241">
          <cell r="B1241" t="str">
            <v>Harisankar P</v>
          </cell>
          <cell r="I1241" t="str">
            <v>Correct</v>
          </cell>
          <cell r="J1241">
            <v>2.2400000000000002</v>
          </cell>
          <cell r="K1241" t="str">
            <v>High</v>
          </cell>
          <cell r="AB1241">
            <v>2.68</v>
          </cell>
        </row>
        <row r="1242">
          <cell r="B1242" t="str">
            <v>Indhu Priya</v>
          </cell>
          <cell r="I1242" t="str">
            <v>Correct</v>
          </cell>
          <cell r="J1242">
            <v>1.55</v>
          </cell>
          <cell r="K1242" t="str">
            <v>Low</v>
          </cell>
          <cell r="AB1242">
            <v>1.94</v>
          </cell>
        </row>
        <row r="1243">
          <cell r="B1243" t="str">
            <v>Indhu Priya</v>
          </cell>
          <cell r="I1243" t="str">
            <v>Correct</v>
          </cell>
          <cell r="J1243">
            <v>1.85</v>
          </cell>
          <cell r="K1243" t="str">
            <v>Low</v>
          </cell>
          <cell r="AB1243">
            <v>0.81</v>
          </cell>
        </row>
        <row r="1244">
          <cell r="B1244" t="str">
            <v>Indhu Priya</v>
          </cell>
          <cell r="I1244" t="str">
            <v>Correct</v>
          </cell>
          <cell r="J1244">
            <v>1.67</v>
          </cell>
          <cell r="K1244" t="str">
            <v>Low</v>
          </cell>
          <cell r="AB1244">
            <v>1.8</v>
          </cell>
        </row>
        <row r="1245">
          <cell r="B1245" t="str">
            <v>Indhu Priya</v>
          </cell>
          <cell r="I1245" t="str">
            <v>Correct</v>
          </cell>
          <cell r="J1245">
            <v>1.92</v>
          </cell>
          <cell r="K1245" t="str">
            <v>Low</v>
          </cell>
          <cell r="AB1245">
            <v>0.78</v>
          </cell>
        </row>
        <row r="1246">
          <cell r="B1246" t="str">
            <v>Indhu Priya</v>
          </cell>
          <cell r="I1246" t="str">
            <v>Wrong</v>
          </cell>
          <cell r="J1246">
            <v>1.1299999999999999</v>
          </cell>
          <cell r="K1246" t="str">
            <v>Low</v>
          </cell>
          <cell r="AB1246">
            <v>0</v>
          </cell>
        </row>
        <row r="1247">
          <cell r="B1247" t="str">
            <v>Indhu Priya</v>
          </cell>
          <cell r="I1247" t="str">
            <v>Correct</v>
          </cell>
          <cell r="J1247">
            <v>1.87</v>
          </cell>
          <cell r="K1247" t="str">
            <v>Low</v>
          </cell>
          <cell r="AB1247">
            <v>1.6</v>
          </cell>
        </row>
        <row r="1248">
          <cell r="B1248" t="str">
            <v>Indhu Priya</v>
          </cell>
          <cell r="I1248" t="str">
            <v>Correct</v>
          </cell>
          <cell r="J1248">
            <v>1.7</v>
          </cell>
          <cell r="K1248" t="str">
            <v>Low</v>
          </cell>
          <cell r="AB1248">
            <v>0.88</v>
          </cell>
        </row>
        <row r="1249">
          <cell r="B1249" t="str">
            <v>Indhu Priya</v>
          </cell>
          <cell r="I1249" t="str">
            <v>Correct</v>
          </cell>
          <cell r="J1249">
            <v>1.67</v>
          </cell>
          <cell r="K1249" t="str">
            <v>Low</v>
          </cell>
          <cell r="AB1249">
            <v>1.8</v>
          </cell>
        </row>
        <row r="1250">
          <cell r="B1250" t="str">
            <v>Indhu Priya</v>
          </cell>
          <cell r="I1250" t="str">
            <v>Correct</v>
          </cell>
          <cell r="J1250">
            <v>1.32</v>
          </cell>
          <cell r="K1250" t="str">
            <v>Low</v>
          </cell>
          <cell r="AB1250">
            <v>2</v>
          </cell>
        </row>
        <row r="1251">
          <cell r="B1251" t="str">
            <v>Indhu Priya</v>
          </cell>
          <cell r="I1251" t="str">
            <v>Correct</v>
          </cell>
          <cell r="J1251">
            <v>1.92</v>
          </cell>
          <cell r="K1251" t="str">
            <v>Medium</v>
          </cell>
          <cell r="AB1251">
            <v>1.88</v>
          </cell>
        </row>
        <row r="1252">
          <cell r="B1252" t="str">
            <v>Indhu Priya</v>
          </cell>
          <cell r="I1252" t="str">
            <v>Correct</v>
          </cell>
          <cell r="J1252">
            <v>1.38</v>
          </cell>
          <cell r="K1252" t="str">
            <v>Medium</v>
          </cell>
          <cell r="AB1252">
            <v>2</v>
          </cell>
        </row>
        <row r="1253">
          <cell r="B1253" t="str">
            <v>Indhu Priya</v>
          </cell>
          <cell r="I1253" t="str">
            <v>Wrong</v>
          </cell>
          <cell r="J1253">
            <v>1.74</v>
          </cell>
          <cell r="K1253" t="str">
            <v>Medium</v>
          </cell>
          <cell r="AB1253">
            <v>0</v>
          </cell>
        </row>
        <row r="1254">
          <cell r="B1254" t="str">
            <v>Indhu Priya</v>
          </cell>
          <cell r="I1254" t="str">
            <v>Correct</v>
          </cell>
          <cell r="J1254">
            <v>1.86</v>
          </cell>
          <cell r="K1254" t="str">
            <v>Medium</v>
          </cell>
          <cell r="AB1254">
            <v>1.94</v>
          </cell>
        </row>
        <row r="1255">
          <cell r="B1255" t="str">
            <v>Indhu Priya</v>
          </cell>
          <cell r="I1255" t="str">
            <v>Correct</v>
          </cell>
          <cell r="J1255">
            <v>1.19</v>
          </cell>
          <cell r="K1255" t="str">
            <v>Medium</v>
          </cell>
          <cell r="AB1255">
            <v>2</v>
          </cell>
        </row>
        <row r="1256">
          <cell r="B1256" t="str">
            <v>Indhu Priya</v>
          </cell>
          <cell r="I1256" t="str">
            <v>Correct</v>
          </cell>
          <cell r="J1256">
            <v>1.1599999999999999</v>
          </cell>
          <cell r="K1256" t="str">
            <v>Medium</v>
          </cell>
          <cell r="AB1256">
            <v>2</v>
          </cell>
        </row>
        <row r="1257">
          <cell r="B1257" t="str">
            <v>Indhu Priya</v>
          </cell>
          <cell r="I1257" t="str">
            <v>Wrong</v>
          </cell>
          <cell r="J1257">
            <v>1.44</v>
          </cell>
          <cell r="K1257" t="str">
            <v>High</v>
          </cell>
          <cell r="AB1257">
            <v>0</v>
          </cell>
        </row>
        <row r="1258">
          <cell r="B1258" t="str">
            <v>Indhu Priya</v>
          </cell>
          <cell r="I1258" t="str">
            <v>Correct</v>
          </cell>
          <cell r="J1258">
            <v>2.0699999999999998</v>
          </cell>
          <cell r="K1258" t="str">
            <v>High</v>
          </cell>
          <cell r="AB1258">
            <v>2.9</v>
          </cell>
        </row>
        <row r="1259">
          <cell r="B1259" t="str">
            <v>Indhu Priya</v>
          </cell>
          <cell r="I1259" t="str">
            <v>Correct</v>
          </cell>
          <cell r="J1259">
            <v>1.97</v>
          </cell>
          <cell r="K1259" t="str">
            <v>High</v>
          </cell>
          <cell r="AB1259">
            <v>3</v>
          </cell>
        </row>
        <row r="1260">
          <cell r="B1260" t="str">
            <v>Indhu Priya</v>
          </cell>
          <cell r="I1260" t="str">
            <v>Wrong</v>
          </cell>
          <cell r="J1260">
            <v>1.88</v>
          </cell>
          <cell r="K1260" t="str">
            <v>High</v>
          </cell>
          <cell r="AB1260">
            <v>0</v>
          </cell>
        </row>
        <row r="1261">
          <cell r="B1261" t="str">
            <v>Indhu Priya</v>
          </cell>
          <cell r="I1261" t="str">
            <v>Wrong</v>
          </cell>
          <cell r="J1261">
            <v>1.67</v>
          </cell>
          <cell r="K1261" t="str">
            <v>High</v>
          </cell>
          <cell r="AB1261">
            <v>0</v>
          </cell>
        </row>
        <row r="1262">
          <cell r="B1262" t="str">
            <v>Jothi Lakshmi</v>
          </cell>
          <cell r="I1262" t="str">
            <v>Correct</v>
          </cell>
          <cell r="J1262">
            <v>1.99</v>
          </cell>
          <cell r="K1262" t="str">
            <v>Low</v>
          </cell>
          <cell r="AB1262">
            <v>1.51</v>
          </cell>
        </row>
        <row r="1263">
          <cell r="B1263" t="str">
            <v>Jothi Lakshmi</v>
          </cell>
          <cell r="I1263" t="str">
            <v>Correct</v>
          </cell>
          <cell r="J1263">
            <v>1.69</v>
          </cell>
          <cell r="K1263" t="str">
            <v>Low</v>
          </cell>
          <cell r="AB1263">
            <v>0.89</v>
          </cell>
        </row>
        <row r="1264">
          <cell r="B1264" t="str">
            <v>Jothi Lakshmi</v>
          </cell>
          <cell r="I1264" t="str">
            <v>Correct</v>
          </cell>
          <cell r="J1264">
            <v>1.4</v>
          </cell>
          <cell r="K1264" t="str">
            <v>Low</v>
          </cell>
          <cell r="AB1264">
            <v>2</v>
          </cell>
        </row>
        <row r="1265">
          <cell r="B1265" t="str">
            <v>Jothi Lakshmi</v>
          </cell>
          <cell r="I1265" t="str">
            <v>Correct</v>
          </cell>
          <cell r="J1265">
            <v>1.84</v>
          </cell>
          <cell r="K1265" t="str">
            <v>Low</v>
          </cell>
          <cell r="AB1265">
            <v>0.82</v>
          </cell>
        </row>
        <row r="1266">
          <cell r="B1266" t="str">
            <v>Jothi Lakshmi</v>
          </cell>
          <cell r="I1266" t="str">
            <v>Correct</v>
          </cell>
          <cell r="J1266">
            <v>1.91</v>
          </cell>
          <cell r="K1266" t="str">
            <v>Low</v>
          </cell>
          <cell r="AB1266">
            <v>0.79</v>
          </cell>
        </row>
        <row r="1267">
          <cell r="B1267" t="str">
            <v>Jothi Lakshmi</v>
          </cell>
          <cell r="I1267" t="str">
            <v>Correct</v>
          </cell>
          <cell r="J1267">
            <v>1.06</v>
          </cell>
          <cell r="K1267" t="str">
            <v>Low</v>
          </cell>
          <cell r="AB1267">
            <v>2</v>
          </cell>
        </row>
        <row r="1268">
          <cell r="B1268" t="str">
            <v>Jothi Lakshmi</v>
          </cell>
          <cell r="I1268" t="str">
            <v>Correct</v>
          </cell>
          <cell r="J1268">
            <v>1.9</v>
          </cell>
          <cell r="K1268" t="str">
            <v>Low</v>
          </cell>
          <cell r="AB1268">
            <v>0.79</v>
          </cell>
        </row>
        <row r="1269">
          <cell r="B1269" t="str">
            <v>Jothi Lakshmi</v>
          </cell>
          <cell r="I1269" t="str">
            <v>Correct</v>
          </cell>
          <cell r="J1269">
            <v>2</v>
          </cell>
          <cell r="K1269" t="str">
            <v>Low</v>
          </cell>
          <cell r="AB1269">
            <v>1.5</v>
          </cell>
        </row>
        <row r="1270">
          <cell r="B1270" t="str">
            <v>Jothi Lakshmi</v>
          </cell>
          <cell r="I1270" t="str">
            <v>Wrong</v>
          </cell>
          <cell r="J1270">
            <v>1.2</v>
          </cell>
          <cell r="K1270" t="str">
            <v>Low</v>
          </cell>
          <cell r="AB1270">
            <v>0</v>
          </cell>
        </row>
        <row r="1271">
          <cell r="B1271" t="str">
            <v>Jothi Lakshmi</v>
          </cell>
          <cell r="I1271" t="str">
            <v>Wrong</v>
          </cell>
          <cell r="J1271">
            <v>1.97</v>
          </cell>
          <cell r="K1271" t="str">
            <v>Medium</v>
          </cell>
          <cell r="AB1271">
            <v>0</v>
          </cell>
        </row>
        <row r="1272">
          <cell r="B1272" t="str">
            <v>Jothi Lakshmi</v>
          </cell>
          <cell r="I1272" t="str">
            <v>Correct</v>
          </cell>
          <cell r="J1272">
            <v>1.22</v>
          </cell>
          <cell r="K1272" t="str">
            <v>Medium</v>
          </cell>
          <cell r="AB1272">
            <v>2</v>
          </cell>
        </row>
        <row r="1273">
          <cell r="B1273" t="str">
            <v>Jothi Lakshmi</v>
          </cell>
          <cell r="I1273" t="str">
            <v>Correct</v>
          </cell>
          <cell r="J1273">
            <v>1.44</v>
          </cell>
          <cell r="K1273" t="str">
            <v>Medium</v>
          </cell>
          <cell r="AB1273">
            <v>2</v>
          </cell>
        </row>
        <row r="1274">
          <cell r="B1274" t="str">
            <v>Jothi Lakshmi</v>
          </cell>
          <cell r="I1274" t="str">
            <v>Correct</v>
          </cell>
          <cell r="J1274">
            <v>2.19</v>
          </cell>
          <cell r="K1274" t="str">
            <v>Medium</v>
          </cell>
          <cell r="AB1274">
            <v>1.64</v>
          </cell>
        </row>
        <row r="1275">
          <cell r="B1275" t="str">
            <v>Jothi Lakshmi</v>
          </cell>
          <cell r="I1275" t="str">
            <v>Correct</v>
          </cell>
          <cell r="J1275">
            <v>1.94</v>
          </cell>
          <cell r="K1275" t="str">
            <v>Medium</v>
          </cell>
          <cell r="AB1275">
            <v>1.86</v>
          </cell>
        </row>
        <row r="1276">
          <cell r="B1276" t="str">
            <v>Jothi Lakshmi</v>
          </cell>
          <cell r="I1276" t="str">
            <v>Correct</v>
          </cell>
          <cell r="J1276">
            <v>1.94</v>
          </cell>
          <cell r="K1276" t="str">
            <v>Medium</v>
          </cell>
          <cell r="AB1276">
            <v>1.86</v>
          </cell>
        </row>
        <row r="1277">
          <cell r="B1277" t="str">
            <v>Jothi Lakshmi</v>
          </cell>
          <cell r="I1277" t="str">
            <v>Correct</v>
          </cell>
          <cell r="J1277">
            <v>2.16</v>
          </cell>
          <cell r="K1277" t="str">
            <v>High</v>
          </cell>
          <cell r="AB1277">
            <v>2.78</v>
          </cell>
        </row>
        <row r="1278">
          <cell r="B1278" t="str">
            <v>Jothi Lakshmi</v>
          </cell>
          <cell r="I1278" t="str">
            <v>Wrong</v>
          </cell>
          <cell r="J1278">
            <v>2.2200000000000002</v>
          </cell>
          <cell r="K1278" t="str">
            <v>High</v>
          </cell>
          <cell r="AB1278">
            <v>0</v>
          </cell>
        </row>
        <row r="1279">
          <cell r="B1279" t="str">
            <v>Jothi Lakshmi</v>
          </cell>
          <cell r="I1279" t="str">
            <v>Correct</v>
          </cell>
          <cell r="J1279">
            <v>2</v>
          </cell>
          <cell r="K1279" t="str">
            <v>High</v>
          </cell>
          <cell r="AB1279">
            <v>3</v>
          </cell>
        </row>
        <row r="1280">
          <cell r="B1280" t="str">
            <v>Jothi Lakshmi</v>
          </cell>
          <cell r="I1280" t="str">
            <v>Correct</v>
          </cell>
          <cell r="J1280">
            <v>2.38</v>
          </cell>
          <cell r="K1280" t="str">
            <v>High</v>
          </cell>
          <cell r="AB1280">
            <v>2.52</v>
          </cell>
        </row>
        <row r="1281">
          <cell r="B1281" t="str">
            <v>Jothi Lakshmi</v>
          </cell>
          <cell r="I1281" t="str">
            <v>Correct</v>
          </cell>
          <cell r="J1281">
            <v>1.64</v>
          </cell>
          <cell r="K1281" t="str">
            <v>High</v>
          </cell>
          <cell r="AB1281">
            <v>3</v>
          </cell>
        </row>
        <row r="1282">
          <cell r="B1282" t="str">
            <v>Kavin Raj</v>
          </cell>
          <cell r="I1282" t="str">
            <v>Wrong</v>
          </cell>
          <cell r="J1282">
            <v>1.25</v>
          </cell>
          <cell r="K1282" t="str">
            <v>Low</v>
          </cell>
          <cell r="AB1282">
            <v>0</v>
          </cell>
        </row>
        <row r="1283">
          <cell r="B1283" t="str">
            <v>Kavin Raj</v>
          </cell>
          <cell r="I1283" t="str">
            <v>Correct</v>
          </cell>
          <cell r="J1283">
            <v>0.91</v>
          </cell>
          <cell r="K1283" t="str">
            <v>Low</v>
          </cell>
          <cell r="AB1283">
            <v>1</v>
          </cell>
        </row>
        <row r="1284">
          <cell r="B1284" t="str">
            <v>Kavin Raj</v>
          </cell>
          <cell r="I1284" t="str">
            <v>Wrong</v>
          </cell>
          <cell r="J1284">
            <v>1.9</v>
          </cell>
          <cell r="K1284" t="str">
            <v>Low</v>
          </cell>
          <cell r="AB1284">
            <v>0</v>
          </cell>
        </row>
        <row r="1285">
          <cell r="B1285" t="str">
            <v>Kavin Raj</v>
          </cell>
          <cell r="I1285" t="str">
            <v>Correct</v>
          </cell>
          <cell r="J1285">
            <v>1.74</v>
          </cell>
          <cell r="K1285" t="str">
            <v>Low</v>
          </cell>
          <cell r="AB1285">
            <v>0.86</v>
          </cell>
        </row>
        <row r="1286">
          <cell r="B1286" t="str">
            <v>Kavin Raj</v>
          </cell>
          <cell r="I1286" t="str">
            <v>Correct</v>
          </cell>
          <cell r="J1286">
            <v>1.1299999999999999</v>
          </cell>
          <cell r="K1286" t="str">
            <v>Low</v>
          </cell>
          <cell r="AB1286">
            <v>1</v>
          </cell>
        </row>
        <row r="1287">
          <cell r="B1287" t="str">
            <v>Kavin Raj</v>
          </cell>
          <cell r="I1287" t="str">
            <v>Correct</v>
          </cell>
          <cell r="J1287">
            <v>1.1599999999999999</v>
          </cell>
          <cell r="K1287" t="str">
            <v>Low</v>
          </cell>
          <cell r="AB1287">
            <v>2</v>
          </cell>
        </row>
        <row r="1288">
          <cell r="B1288" t="str">
            <v>Kavin Raj</v>
          </cell>
          <cell r="I1288" t="str">
            <v>Correct</v>
          </cell>
          <cell r="J1288">
            <v>1.99</v>
          </cell>
          <cell r="K1288" t="str">
            <v>Low</v>
          </cell>
          <cell r="AB1288">
            <v>0.75</v>
          </cell>
        </row>
        <row r="1289">
          <cell r="B1289" t="str">
            <v>Kavin Raj</v>
          </cell>
          <cell r="I1289" t="str">
            <v>Wrong</v>
          </cell>
          <cell r="J1289">
            <v>1.76</v>
          </cell>
          <cell r="K1289" t="str">
            <v>Low</v>
          </cell>
          <cell r="AB1289">
            <v>0</v>
          </cell>
        </row>
        <row r="1290">
          <cell r="B1290" t="str">
            <v>Kavin Raj</v>
          </cell>
          <cell r="I1290" t="str">
            <v>Correct</v>
          </cell>
          <cell r="J1290">
            <v>1.33</v>
          </cell>
          <cell r="K1290" t="str">
            <v>Low</v>
          </cell>
          <cell r="AB1290">
            <v>2</v>
          </cell>
        </row>
        <row r="1291">
          <cell r="B1291" t="str">
            <v>Kavin Raj</v>
          </cell>
          <cell r="I1291" t="str">
            <v>Correct</v>
          </cell>
          <cell r="J1291">
            <v>1.76</v>
          </cell>
          <cell r="K1291" t="str">
            <v>Medium</v>
          </cell>
          <cell r="AB1291">
            <v>2</v>
          </cell>
        </row>
        <row r="1292">
          <cell r="B1292" t="str">
            <v>Kavin Raj</v>
          </cell>
          <cell r="I1292" t="str">
            <v>Correct</v>
          </cell>
          <cell r="J1292">
            <v>1.38</v>
          </cell>
          <cell r="K1292" t="str">
            <v>Medium</v>
          </cell>
          <cell r="AB1292">
            <v>2</v>
          </cell>
        </row>
        <row r="1293">
          <cell r="B1293" t="str">
            <v>Kavin Raj</v>
          </cell>
          <cell r="I1293" t="str">
            <v>Correct</v>
          </cell>
          <cell r="J1293">
            <v>1.99</v>
          </cell>
          <cell r="K1293" t="str">
            <v>Medium</v>
          </cell>
          <cell r="AB1293">
            <v>1.81</v>
          </cell>
        </row>
        <row r="1294">
          <cell r="B1294" t="str">
            <v>Kavin Raj</v>
          </cell>
          <cell r="I1294" t="str">
            <v>Wrong</v>
          </cell>
          <cell r="J1294">
            <v>1.95</v>
          </cell>
          <cell r="K1294" t="str">
            <v>Medium</v>
          </cell>
          <cell r="AB1294">
            <v>0</v>
          </cell>
        </row>
        <row r="1295">
          <cell r="B1295" t="str">
            <v>Kavin Raj</v>
          </cell>
          <cell r="I1295" t="str">
            <v>Correct</v>
          </cell>
          <cell r="J1295">
            <v>1.75</v>
          </cell>
          <cell r="K1295" t="str">
            <v>Medium</v>
          </cell>
          <cell r="AB1295">
            <v>2</v>
          </cell>
        </row>
        <row r="1296">
          <cell r="B1296" t="str">
            <v>Kavin Raj</v>
          </cell>
          <cell r="I1296" t="str">
            <v>Wrong</v>
          </cell>
          <cell r="J1296">
            <v>1.1599999999999999</v>
          </cell>
          <cell r="K1296" t="str">
            <v>Medium</v>
          </cell>
          <cell r="AB1296">
            <v>0</v>
          </cell>
        </row>
        <row r="1297">
          <cell r="B1297" t="str">
            <v>Kavin Raj</v>
          </cell>
          <cell r="I1297" t="str">
            <v>Wrong</v>
          </cell>
          <cell r="J1297">
            <v>1.37</v>
          </cell>
          <cell r="K1297" t="str">
            <v>High</v>
          </cell>
          <cell r="AB1297">
            <v>0</v>
          </cell>
        </row>
        <row r="1298">
          <cell r="B1298" t="str">
            <v>Kavin Raj</v>
          </cell>
          <cell r="I1298" t="str">
            <v>Wrong</v>
          </cell>
          <cell r="J1298">
            <v>2.1</v>
          </cell>
          <cell r="K1298" t="str">
            <v>High</v>
          </cell>
          <cell r="AB1298">
            <v>0</v>
          </cell>
        </row>
        <row r="1299">
          <cell r="B1299" t="str">
            <v>Kavin Raj</v>
          </cell>
          <cell r="I1299" t="str">
            <v>Wrong</v>
          </cell>
          <cell r="J1299">
            <v>1.99</v>
          </cell>
          <cell r="K1299" t="str">
            <v>High</v>
          </cell>
          <cell r="AB1299">
            <v>0</v>
          </cell>
        </row>
        <row r="1300">
          <cell r="B1300" t="str">
            <v>Kavin Raj</v>
          </cell>
          <cell r="I1300" t="str">
            <v>Wrong</v>
          </cell>
          <cell r="J1300">
            <v>1.92</v>
          </cell>
          <cell r="K1300" t="str">
            <v>High</v>
          </cell>
          <cell r="AB1300">
            <v>0</v>
          </cell>
        </row>
        <row r="1301">
          <cell r="B1301" t="str">
            <v>Kavin Raj</v>
          </cell>
          <cell r="I1301" t="str">
            <v>Correct</v>
          </cell>
          <cell r="J1301">
            <v>1.41</v>
          </cell>
          <cell r="K1301" t="str">
            <v>High</v>
          </cell>
          <cell r="AB1301">
            <v>3</v>
          </cell>
        </row>
        <row r="1302">
          <cell r="B1302" t="str">
            <v>Logeshwaran S</v>
          </cell>
          <cell r="I1302" t="str">
            <v>Correct</v>
          </cell>
          <cell r="J1302">
            <v>0.93</v>
          </cell>
          <cell r="K1302" t="str">
            <v>Low</v>
          </cell>
          <cell r="AB1302">
            <v>2</v>
          </cell>
        </row>
        <row r="1303">
          <cell r="B1303" t="str">
            <v>Logeshwaran S</v>
          </cell>
          <cell r="I1303" t="str">
            <v>Correct</v>
          </cell>
          <cell r="J1303">
            <v>1.52</v>
          </cell>
          <cell r="K1303" t="str">
            <v>Low</v>
          </cell>
          <cell r="AB1303">
            <v>0.99</v>
          </cell>
        </row>
        <row r="1304">
          <cell r="B1304" t="str">
            <v>Logeshwaran S</v>
          </cell>
          <cell r="I1304" t="str">
            <v>Correct</v>
          </cell>
          <cell r="J1304">
            <v>1.88</v>
          </cell>
          <cell r="K1304" t="str">
            <v>Low</v>
          </cell>
          <cell r="AB1304">
            <v>1.6</v>
          </cell>
        </row>
        <row r="1305">
          <cell r="B1305" t="str">
            <v>Logeshwaran S</v>
          </cell>
          <cell r="I1305" t="str">
            <v>Wrong</v>
          </cell>
          <cell r="J1305">
            <v>0.91</v>
          </cell>
          <cell r="K1305" t="str">
            <v>Low</v>
          </cell>
          <cell r="AB1305">
            <v>0</v>
          </cell>
        </row>
        <row r="1306">
          <cell r="B1306" t="str">
            <v>Logeshwaran S</v>
          </cell>
          <cell r="I1306" t="str">
            <v>Correct</v>
          </cell>
          <cell r="J1306">
            <v>0.91</v>
          </cell>
          <cell r="K1306" t="str">
            <v>Low</v>
          </cell>
          <cell r="AB1306">
            <v>1</v>
          </cell>
        </row>
        <row r="1307">
          <cell r="B1307" t="str">
            <v>Logeshwaran S</v>
          </cell>
          <cell r="I1307" t="str">
            <v>Correct</v>
          </cell>
          <cell r="J1307">
            <v>0.95</v>
          </cell>
          <cell r="K1307" t="str">
            <v>Low</v>
          </cell>
          <cell r="AB1307">
            <v>2</v>
          </cell>
        </row>
        <row r="1308">
          <cell r="B1308" t="str">
            <v>Logeshwaran S</v>
          </cell>
          <cell r="I1308" t="str">
            <v>Correct</v>
          </cell>
          <cell r="J1308">
            <v>1.44</v>
          </cell>
          <cell r="K1308" t="str">
            <v>Low</v>
          </cell>
          <cell r="AB1308">
            <v>1</v>
          </cell>
        </row>
        <row r="1309">
          <cell r="B1309" t="str">
            <v>Logeshwaran S</v>
          </cell>
          <cell r="I1309" t="str">
            <v>Correct</v>
          </cell>
          <cell r="J1309">
            <v>1.21</v>
          </cell>
          <cell r="K1309" t="str">
            <v>Low</v>
          </cell>
          <cell r="AB1309">
            <v>2</v>
          </cell>
        </row>
        <row r="1310">
          <cell r="B1310" t="str">
            <v>Logeshwaran S</v>
          </cell>
          <cell r="I1310" t="str">
            <v>Correct</v>
          </cell>
          <cell r="J1310">
            <v>1.21</v>
          </cell>
          <cell r="K1310" t="str">
            <v>Low</v>
          </cell>
          <cell r="AB1310">
            <v>2</v>
          </cell>
        </row>
        <row r="1311">
          <cell r="B1311" t="str">
            <v>Logeshwaran S</v>
          </cell>
          <cell r="I1311" t="str">
            <v>Wrong</v>
          </cell>
          <cell r="J1311">
            <v>2.27</v>
          </cell>
          <cell r="K1311" t="str">
            <v>Medium</v>
          </cell>
          <cell r="AB1311">
            <v>0</v>
          </cell>
        </row>
        <row r="1312">
          <cell r="B1312" t="str">
            <v>Logeshwaran S</v>
          </cell>
          <cell r="I1312" t="str">
            <v>Correct</v>
          </cell>
          <cell r="J1312">
            <v>1.56</v>
          </cell>
          <cell r="K1312" t="str">
            <v>Medium</v>
          </cell>
          <cell r="AB1312">
            <v>2</v>
          </cell>
        </row>
        <row r="1313">
          <cell r="B1313" t="str">
            <v>Logeshwaran S</v>
          </cell>
          <cell r="I1313" t="str">
            <v>Correct</v>
          </cell>
          <cell r="J1313">
            <v>1.68</v>
          </cell>
          <cell r="K1313" t="str">
            <v>Medium</v>
          </cell>
          <cell r="AB1313">
            <v>2</v>
          </cell>
        </row>
        <row r="1314">
          <cell r="B1314" t="str">
            <v>Logeshwaran S</v>
          </cell>
          <cell r="I1314" t="str">
            <v>Correct</v>
          </cell>
          <cell r="J1314">
            <v>2.1800000000000002</v>
          </cell>
          <cell r="K1314" t="str">
            <v>Medium</v>
          </cell>
          <cell r="AB1314">
            <v>1.65</v>
          </cell>
        </row>
        <row r="1315">
          <cell r="B1315" t="str">
            <v>Logeshwaran S</v>
          </cell>
          <cell r="I1315" t="str">
            <v>Correct</v>
          </cell>
          <cell r="J1315">
            <v>2.27</v>
          </cell>
          <cell r="K1315" t="str">
            <v>Medium</v>
          </cell>
          <cell r="AB1315">
            <v>1.59</v>
          </cell>
        </row>
        <row r="1316">
          <cell r="B1316" t="str">
            <v>Logeshwaran S</v>
          </cell>
          <cell r="I1316" t="str">
            <v>Correct</v>
          </cell>
          <cell r="J1316">
            <v>1.56</v>
          </cell>
          <cell r="K1316" t="str">
            <v>Medium</v>
          </cell>
          <cell r="AB1316">
            <v>2</v>
          </cell>
        </row>
        <row r="1317">
          <cell r="B1317" t="str">
            <v>Logeshwaran S</v>
          </cell>
          <cell r="I1317" t="str">
            <v>Correct</v>
          </cell>
          <cell r="J1317">
            <v>1.76</v>
          </cell>
          <cell r="K1317" t="str">
            <v>High</v>
          </cell>
          <cell r="AB1317">
            <v>3</v>
          </cell>
        </row>
        <row r="1318">
          <cell r="B1318" t="str">
            <v>Logeshwaran S</v>
          </cell>
          <cell r="I1318" t="str">
            <v>Correct</v>
          </cell>
          <cell r="J1318">
            <v>2.34</v>
          </cell>
          <cell r="K1318" t="str">
            <v>High</v>
          </cell>
          <cell r="AB1318">
            <v>2.57</v>
          </cell>
        </row>
        <row r="1319">
          <cell r="B1319" t="str">
            <v>Logeshwaran S</v>
          </cell>
          <cell r="I1319" t="str">
            <v>Correct</v>
          </cell>
          <cell r="J1319">
            <v>1.91</v>
          </cell>
          <cell r="K1319" t="str">
            <v>High</v>
          </cell>
          <cell r="AB1319">
            <v>3</v>
          </cell>
        </row>
        <row r="1320">
          <cell r="B1320" t="str">
            <v>Logeshwaran S</v>
          </cell>
          <cell r="I1320" t="str">
            <v>Wrong</v>
          </cell>
          <cell r="J1320">
            <v>1.35</v>
          </cell>
          <cell r="K1320" t="str">
            <v>High</v>
          </cell>
          <cell r="AB1320">
            <v>0</v>
          </cell>
        </row>
        <row r="1321">
          <cell r="B1321" t="str">
            <v>Logeshwaran S</v>
          </cell>
          <cell r="I1321" t="str">
            <v>Correct</v>
          </cell>
          <cell r="J1321">
            <v>2.4300000000000002</v>
          </cell>
          <cell r="K1321" t="str">
            <v>High</v>
          </cell>
          <cell r="AB1321">
            <v>2.4700000000000002</v>
          </cell>
        </row>
        <row r="1322">
          <cell r="B1322" t="str">
            <v>Mithun Kumar</v>
          </cell>
          <cell r="I1322" t="str">
            <v>Wrong</v>
          </cell>
          <cell r="J1322">
            <v>1.72</v>
          </cell>
          <cell r="K1322" t="str">
            <v>Low</v>
          </cell>
          <cell r="AB1322">
            <v>0</v>
          </cell>
        </row>
        <row r="1323">
          <cell r="B1323" t="str">
            <v>Mithun Kumar</v>
          </cell>
          <cell r="I1323" t="str">
            <v>Correct</v>
          </cell>
          <cell r="J1323">
            <v>1.05</v>
          </cell>
          <cell r="K1323" t="str">
            <v>Low</v>
          </cell>
          <cell r="AB1323">
            <v>1</v>
          </cell>
        </row>
        <row r="1324">
          <cell r="B1324" t="str">
            <v>Mithun Kumar</v>
          </cell>
          <cell r="I1324" t="str">
            <v>Correct</v>
          </cell>
          <cell r="J1324">
            <v>1.02</v>
          </cell>
          <cell r="K1324" t="str">
            <v>Low</v>
          </cell>
          <cell r="AB1324">
            <v>2</v>
          </cell>
        </row>
        <row r="1325">
          <cell r="B1325" t="str">
            <v>Mithun Kumar</v>
          </cell>
          <cell r="I1325" t="str">
            <v>Correct</v>
          </cell>
          <cell r="J1325">
            <v>1.82</v>
          </cell>
          <cell r="K1325" t="str">
            <v>Low</v>
          </cell>
          <cell r="AB1325">
            <v>0.82</v>
          </cell>
        </row>
        <row r="1326">
          <cell r="B1326" t="str">
            <v>Mithun Kumar</v>
          </cell>
          <cell r="I1326" t="str">
            <v>Correct</v>
          </cell>
          <cell r="J1326">
            <v>1.43</v>
          </cell>
          <cell r="K1326" t="str">
            <v>Low</v>
          </cell>
          <cell r="AB1326">
            <v>1</v>
          </cell>
        </row>
        <row r="1327">
          <cell r="B1327" t="str">
            <v>Mithun Kumar</v>
          </cell>
          <cell r="I1327" t="str">
            <v>Correct</v>
          </cell>
          <cell r="J1327">
            <v>1.84</v>
          </cell>
          <cell r="K1327" t="str">
            <v>Low</v>
          </cell>
          <cell r="AB1327">
            <v>1.63</v>
          </cell>
        </row>
        <row r="1328">
          <cell r="B1328" t="str">
            <v>Mithun Kumar</v>
          </cell>
          <cell r="I1328" t="str">
            <v>Correct</v>
          </cell>
          <cell r="J1328">
            <v>1.58</v>
          </cell>
          <cell r="K1328" t="str">
            <v>Low</v>
          </cell>
          <cell r="AB1328">
            <v>0.95</v>
          </cell>
        </row>
        <row r="1329">
          <cell r="B1329" t="str">
            <v>Mithun Kumar</v>
          </cell>
          <cell r="I1329" t="str">
            <v>Correct</v>
          </cell>
          <cell r="J1329">
            <v>1.6</v>
          </cell>
          <cell r="K1329" t="str">
            <v>Low</v>
          </cell>
          <cell r="AB1329">
            <v>1.88</v>
          </cell>
        </row>
        <row r="1330">
          <cell r="B1330" t="str">
            <v>Mithun Kumar</v>
          </cell>
          <cell r="I1330" t="str">
            <v>Correct</v>
          </cell>
          <cell r="J1330">
            <v>1.85</v>
          </cell>
          <cell r="K1330" t="str">
            <v>Low</v>
          </cell>
          <cell r="AB1330">
            <v>1.62</v>
          </cell>
        </row>
        <row r="1331">
          <cell r="B1331" t="str">
            <v>Mithun Kumar</v>
          </cell>
          <cell r="I1331" t="str">
            <v>Correct</v>
          </cell>
          <cell r="J1331">
            <v>1.91</v>
          </cell>
          <cell r="K1331" t="str">
            <v>Medium</v>
          </cell>
          <cell r="AB1331">
            <v>1.88</v>
          </cell>
        </row>
        <row r="1332">
          <cell r="B1332" t="str">
            <v>Mithun Kumar</v>
          </cell>
          <cell r="I1332" t="str">
            <v>Correct</v>
          </cell>
          <cell r="J1332">
            <v>1.7</v>
          </cell>
          <cell r="K1332" t="str">
            <v>Medium</v>
          </cell>
          <cell r="AB1332">
            <v>2</v>
          </cell>
        </row>
        <row r="1333">
          <cell r="B1333" t="str">
            <v>Mithun Kumar</v>
          </cell>
          <cell r="I1333" t="str">
            <v>Correct</v>
          </cell>
          <cell r="J1333">
            <v>2</v>
          </cell>
          <cell r="K1333" t="str">
            <v>Medium</v>
          </cell>
          <cell r="AB1333">
            <v>1.8</v>
          </cell>
        </row>
        <row r="1334">
          <cell r="B1334" t="str">
            <v>Mithun Kumar</v>
          </cell>
          <cell r="I1334" t="str">
            <v>Correct</v>
          </cell>
          <cell r="J1334">
            <v>1.1599999999999999</v>
          </cell>
          <cell r="K1334" t="str">
            <v>Medium</v>
          </cell>
          <cell r="AB1334">
            <v>2</v>
          </cell>
        </row>
        <row r="1335">
          <cell r="B1335" t="str">
            <v>Mithun Kumar</v>
          </cell>
          <cell r="I1335" t="str">
            <v>Wrong</v>
          </cell>
          <cell r="J1335">
            <v>1.67</v>
          </cell>
          <cell r="K1335" t="str">
            <v>Medium</v>
          </cell>
          <cell r="AB1335">
            <v>0</v>
          </cell>
        </row>
        <row r="1336">
          <cell r="B1336" t="str">
            <v>Mithun Kumar</v>
          </cell>
          <cell r="I1336" t="str">
            <v>Correct</v>
          </cell>
          <cell r="J1336">
            <v>1.77</v>
          </cell>
          <cell r="K1336" t="str">
            <v>Medium</v>
          </cell>
          <cell r="AB1336">
            <v>2</v>
          </cell>
        </row>
        <row r="1337">
          <cell r="B1337" t="str">
            <v>Mithun Kumar</v>
          </cell>
          <cell r="I1337" t="str">
            <v>Correct</v>
          </cell>
          <cell r="J1337">
            <v>2.2000000000000002</v>
          </cell>
          <cell r="K1337" t="str">
            <v>High</v>
          </cell>
          <cell r="AB1337">
            <v>2.73</v>
          </cell>
        </row>
        <row r="1338">
          <cell r="B1338" t="str">
            <v>Mithun Kumar</v>
          </cell>
          <cell r="I1338" t="str">
            <v>Correct</v>
          </cell>
          <cell r="J1338">
            <v>1.78</v>
          </cell>
          <cell r="K1338" t="str">
            <v>High</v>
          </cell>
          <cell r="AB1338">
            <v>3</v>
          </cell>
        </row>
        <row r="1339">
          <cell r="B1339" t="str">
            <v>Mithun Kumar</v>
          </cell>
          <cell r="I1339" t="str">
            <v>Correct</v>
          </cell>
          <cell r="J1339">
            <v>1.98</v>
          </cell>
          <cell r="K1339" t="str">
            <v>High</v>
          </cell>
          <cell r="AB1339">
            <v>3</v>
          </cell>
        </row>
        <row r="1340">
          <cell r="B1340" t="str">
            <v>Mithun Kumar</v>
          </cell>
          <cell r="I1340" t="str">
            <v>Correct</v>
          </cell>
          <cell r="J1340">
            <v>2.57</v>
          </cell>
          <cell r="K1340" t="str">
            <v>High</v>
          </cell>
          <cell r="AB1340">
            <v>2.33</v>
          </cell>
        </row>
        <row r="1341">
          <cell r="B1341" t="str">
            <v>Mithun Kumar</v>
          </cell>
          <cell r="I1341" t="str">
            <v>Wrong</v>
          </cell>
          <cell r="J1341">
            <v>1.8</v>
          </cell>
          <cell r="K1341" t="str">
            <v>High</v>
          </cell>
          <cell r="AB1341">
            <v>0</v>
          </cell>
        </row>
        <row r="1342">
          <cell r="B1342" t="str">
            <v>Naveen Raj</v>
          </cell>
          <cell r="I1342" t="str">
            <v>Correct</v>
          </cell>
          <cell r="J1342">
            <v>1.45</v>
          </cell>
          <cell r="K1342" t="str">
            <v>Low</v>
          </cell>
          <cell r="AB1342">
            <v>2</v>
          </cell>
        </row>
        <row r="1343">
          <cell r="B1343" t="str">
            <v>Naveen Raj</v>
          </cell>
          <cell r="I1343" t="str">
            <v>Correct</v>
          </cell>
          <cell r="J1343">
            <v>1.78</v>
          </cell>
          <cell r="K1343" t="str">
            <v>Low</v>
          </cell>
          <cell r="AB1343">
            <v>0.84</v>
          </cell>
        </row>
        <row r="1344">
          <cell r="B1344" t="str">
            <v>Naveen Raj</v>
          </cell>
          <cell r="I1344" t="str">
            <v>Correct</v>
          </cell>
          <cell r="J1344">
            <v>1.47</v>
          </cell>
          <cell r="K1344" t="str">
            <v>Low</v>
          </cell>
          <cell r="AB1344">
            <v>2</v>
          </cell>
        </row>
        <row r="1345">
          <cell r="B1345" t="str">
            <v>Naveen Raj</v>
          </cell>
          <cell r="I1345" t="str">
            <v>Correct</v>
          </cell>
          <cell r="J1345">
            <v>1.1200000000000001</v>
          </cell>
          <cell r="K1345" t="str">
            <v>Low</v>
          </cell>
          <cell r="AB1345">
            <v>1</v>
          </cell>
        </row>
        <row r="1346">
          <cell r="B1346" t="str">
            <v>Naveen Raj</v>
          </cell>
          <cell r="I1346" t="str">
            <v>Correct</v>
          </cell>
          <cell r="J1346">
            <v>1.41</v>
          </cell>
          <cell r="K1346" t="str">
            <v>Low</v>
          </cell>
          <cell r="AB1346">
            <v>1</v>
          </cell>
        </row>
        <row r="1347">
          <cell r="B1347" t="str">
            <v>Naveen Raj</v>
          </cell>
          <cell r="I1347" t="str">
            <v>Wrong</v>
          </cell>
          <cell r="J1347">
            <v>1.1200000000000001</v>
          </cell>
          <cell r="K1347" t="str">
            <v>Low</v>
          </cell>
          <cell r="AB1347">
            <v>0</v>
          </cell>
        </row>
        <row r="1348">
          <cell r="B1348" t="str">
            <v>Naveen Raj</v>
          </cell>
          <cell r="I1348" t="str">
            <v>Correct</v>
          </cell>
          <cell r="J1348">
            <v>1.03</v>
          </cell>
          <cell r="K1348" t="str">
            <v>Low</v>
          </cell>
          <cell r="AB1348">
            <v>1</v>
          </cell>
        </row>
        <row r="1349">
          <cell r="B1349" t="str">
            <v>Naveen Raj</v>
          </cell>
          <cell r="I1349" t="str">
            <v>Correct</v>
          </cell>
          <cell r="J1349">
            <v>1.08</v>
          </cell>
          <cell r="K1349" t="str">
            <v>Low</v>
          </cell>
          <cell r="AB1349">
            <v>2</v>
          </cell>
        </row>
        <row r="1350">
          <cell r="B1350" t="str">
            <v>Naveen Raj</v>
          </cell>
          <cell r="I1350" t="str">
            <v>Correct</v>
          </cell>
          <cell r="J1350">
            <v>1.35</v>
          </cell>
          <cell r="K1350" t="str">
            <v>Low</v>
          </cell>
          <cell r="AB1350">
            <v>2</v>
          </cell>
        </row>
        <row r="1351">
          <cell r="B1351" t="str">
            <v>Naveen Raj</v>
          </cell>
          <cell r="I1351" t="str">
            <v>Wrong</v>
          </cell>
          <cell r="J1351">
            <v>1.42</v>
          </cell>
          <cell r="K1351" t="str">
            <v>Medium</v>
          </cell>
          <cell r="AB1351">
            <v>0</v>
          </cell>
        </row>
        <row r="1352">
          <cell r="B1352" t="str">
            <v>Naveen Raj</v>
          </cell>
          <cell r="I1352" t="str">
            <v>Correct</v>
          </cell>
          <cell r="J1352">
            <v>1.59</v>
          </cell>
          <cell r="K1352" t="str">
            <v>Medium</v>
          </cell>
          <cell r="AB1352">
            <v>2</v>
          </cell>
        </row>
        <row r="1353">
          <cell r="B1353" t="str">
            <v>Naveen Raj</v>
          </cell>
          <cell r="I1353" t="str">
            <v>Correct</v>
          </cell>
          <cell r="J1353">
            <v>1.85</v>
          </cell>
          <cell r="K1353" t="str">
            <v>Medium</v>
          </cell>
          <cell r="AB1353">
            <v>1.95</v>
          </cell>
        </row>
        <row r="1354">
          <cell r="B1354" t="str">
            <v>Naveen Raj</v>
          </cell>
          <cell r="I1354" t="str">
            <v>Correct</v>
          </cell>
          <cell r="J1354">
            <v>1.56</v>
          </cell>
          <cell r="K1354" t="str">
            <v>Medium</v>
          </cell>
          <cell r="AB1354">
            <v>2</v>
          </cell>
        </row>
        <row r="1355">
          <cell r="B1355" t="str">
            <v>Naveen Raj</v>
          </cell>
          <cell r="I1355" t="str">
            <v>Correct</v>
          </cell>
          <cell r="J1355">
            <v>1.43</v>
          </cell>
          <cell r="K1355" t="str">
            <v>Medium</v>
          </cell>
          <cell r="AB1355">
            <v>2</v>
          </cell>
        </row>
        <row r="1356">
          <cell r="B1356" t="str">
            <v>Naveen Raj</v>
          </cell>
          <cell r="I1356" t="str">
            <v>Correct</v>
          </cell>
          <cell r="J1356">
            <v>1.96</v>
          </cell>
          <cell r="K1356" t="str">
            <v>Medium</v>
          </cell>
          <cell r="AB1356">
            <v>1.84</v>
          </cell>
        </row>
        <row r="1357">
          <cell r="B1357" t="str">
            <v>Naveen Raj</v>
          </cell>
          <cell r="I1357" t="str">
            <v>Correct</v>
          </cell>
          <cell r="J1357">
            <v>2.5099999999999998</v>
          </cell>
          <cell r="K1357" t="str">
            <v>High</v>
          </cell>
          <cell r="AB1357">
            <v>2.39</v>
          </cell>
        </row>
        <row r="1358">
          <cell r="B1358" t="str">
            <v>Naveen Raj</v>
          </cell>
          <cell r="I1358" t="str">
            <v>Correct</v>
          </cell>
          <cell r="J1358">
            <v>1.36</v>
          </cell>
          <cell r="K1358" t="str">
            <v>High</v>
          </cell>
          <cell r="AB1358">
            <v>3</v>
          </cell>
        </row>
        <row r="1359">
          <cell r="B1359" t="str">
            <v>Naveen Raj</v>
          </cell>
          <cell r="I1359" t="str">
            <v>Correct</v>
          </cell>
          <cell r="J1359">
            <v>2.5299999999999998</v>
          </cell>
          <cell r="K1359" t="str">
            <v>High</v>
          </cell>
          <cell r="AB1359">
            <v>2.37</v>
          </cell>
        </row>
        <row r="1360">
          <cell r="B1360" t="str">
            <v>Naveen Raj</v>
          </cell>
          <cell r="I1360" t="str">
            <v>Wrong</v>
          </cell>
          <cell r="J1360">
            <v>2.46</v>
          </cell>
          <cell r="K1360" t="str">
            <v>High</v>
          </cell>
          <cell r="AB1360">
            <v>0</v>
          </cell>
        </row>
        <row r="1361">
          <cell r="B1361" t="str">
            <v>Naveen Raj</v>
          </cell>
          <cell r="I1361" t="str">
            <v>Correct</v>
          </cell>
          <cell r="J1361">
            <v>2.48</v>
          </cell>
          <cell r="K1361" t="str">
            <v>High</v>
          </cell>
          <cell r="AB1361">
            <v>2.42</v>
          </cell>
        </row>
        <row r="1362">
          <cell r="B1362" t="str">
            <v>Praveen Kumar</v>
          </cell>
          <cell r="I1362" t="str">
            <v>Correct</v>
          </cell>
          <cell r="J1362">
            <v>1.45</v>
          </cell>
          <cell r="K1362" t="str">
            <v>Low</v>
          </cell>
          <cell r="AB1362">
            <v>2</v>
          </cell>
        </row>
        <row r="1363">
          <cell r="B1363" t="str">
            <v>Praveen Kumar</v>
          </cell>
          <cell r="I1363" t="str">
            <v>Correct</v>
          </cell>
          <cell r="J1363">
            <v>0.99</v>
          </cell>
          <cell r="K1363" t="str">
            <v>Low</v>
          </cell>
          <cell r="AB1363">
            <v>1</v>
          </cell>
        </row>
        <row r="1364">
          <cell r="B1364" t="str">
            <v>Praveen Kumar</v>
          </cell>
          <cell r="I1364" t="str">
            <v>Correct</v>
          </cell>
          <cell r="J1364">
            <v>1.06</v>
          </cell>
          <cell r="K1364" t="str">
            <v>Low</v>
          </cell>
          <cell r="AB1364">
            <v>2</v>
          </cell>
        </row>
        <row r="1365">
          <cell r="B1365" t="str">
            <v>Praveen Kumar</v>
          </cell>
          <cell r="I1365" t="str">
            <v>Correct</v>
          </cell>
          <cell r="J1365">
            <v>1.08</v>
          </cell>
          <cell r="K1365" t="str">
            <v>Low</v>
          </cell>
          <cell r="AB1365">
            <v>1</v>
          </cell>
        </row>
        <row r="1366">
          <cell r="B1366" t="str">
            <v>Praveen Kumar</v>
          </cell>
          <cell r="I1366" t="str">
            <v>Wrong</v>
          </cell>
          <cell r="J1366">
            <v>1.76</v>
          </cell>
          <cell r="K1366" t="str">
            <v>Low</v>
          </cell>
          <cell r="AB1366">
            <v>0</v>
          </cell>
        </row>
        <row r="1367">
          <cell r="B1367" t="str">
            <v>Praveen Kumar</v>
          </cell>
          <cell r="I1367" t="str">
            <v>Correct</v>
          </cell>
          <cell r="J1367">
            <v>1.83</v>
          </cell>
          <cell r="K1367" t="str">
            <v>Low</v>
          </cell>
          <cell r="AB1367">
            <v>1.64</v>
          </cell>
        </row>
        <row r="1368">
          <cell r="B1368" t="str">
            <v>Praveen Kumar</v>
          </cell>
          <cell r="I1368" t="str">
            <v>Correct</v>
          </cell>
          <cell r="J1368">
            <v>1.0900000000000001</v>
          </cell>
          <cell r="K1368" t="str">
            <v>Low</v>
          </cell>
          <cell r="AB1368">
            <v>1</v>
          </cell>
        </row>
        <row r="1369">
          <cell r="B1369" t="str">
            <v>Praveen Kumar</v>
          </cell>
          <cell r="I1369" t="str">
            <v>Wrong</v>
          </cell>
          <cell r="J1369">
            <v>1.81</v>
          </cell>
          <cell r="K1369" t="str">
            <v>Low</v>
          </cell>
          <cell r="AB1369">
            <v>0</v>
          </cell>
        </row>
        <row r="1370">
          <cell r="B1370" t="str">
            <v>Praveen Kumar</v>
          </cell>
          <cell r="I1370" t="str">
            <v>Correct</v>
          </cell>
          <cell r="J1370">
            <v>1.66</v>
          </cell>
          <cell r="K1370" t="str">
            <v>Low</v>
          </cell>
          <cell r="AB1370">
            <v>1.81</v>
          </cell>
        </row>
        <row r="1371">
          <cell r="B1371" t="str">
            <v>Praveen Kumar</v>
          </cell>
          <cell r="I1371" t="str">
            <v>Correct</v>
          </cell>
          <cell r="J1371">
            <v>1.57</v>
          </cell>
          <cell r="K1371" t="str">
            <v>Medium</v>
          </cell>
          <cell r="AB1371">
            <v>2</v>
          </cell>
        </row>
        <row r="1372">
          <cell r="B1372" t="str">
            <v>Praveen Kumar</v>
          </cell>
          <cell r="I1372" t="str">
            <v>Correct</v>
          </cell>
          <cell r="J1372">
            <v>2.27</v>
          </cell>
          <cell r="K1372" t="str">
            <v>Medium</v>
          </cell>
          <cell r="AB1372">
            <v>1.59</v>
          </cell>
        </row>
        <row r="1373">
          <cell r="B1373" t="str">
            <v>Praveen Kumar</v>
          </cell>
          <cell r="I1373" t="str">
            <v>Wrong</v>
          </cell>
          <cell r="J1373">
            <v>1.74</v>
          </cell>
          <cell r="K1373" t="str">
            <v>Medium</v>
          </cell>
          <cell r="AB1373">
            <v>0</v>
          </cell>
        </row>
        <row r="1374">
          <cell r="B1374" t="str">
            <v>Praveen Kumar</v>
          </cell>
          <cell r="I1374" t="str">
            <v>Correct</v>
          </cell>
          <cell r="J1374">
            <v>1.66</v>
          </cell>
          <cell r="K1374" t="str">
            <v>Medium</v>
          </cell>
          <cell r="AB1374">
            <v>2</v>
          </cell>
        </row>
        <row r="1375">
          <cell r="B1375" t="str">
            <v>Praveen Kumar</v>
          </cell>
          <cell r="I1375" t="str">
            <v>Correct</v>
          </cell>
          <cell r="J1375">
            <v>1.38</v>
          </cell>
          <cell r="K1375" t="str">
            <v>Medium</v>
          </cell>
          <cell r="AB1375">
            <v>2</v>
          </cell>
        </row>
        <row r="1376">
          <cell r="B1376" t="str">
            <v>Praveen Kumar</v>
          </cell>
          <cell r="I1376" t="str">
            <v>Correct</v>
          </cell>
          <cell r="J1376">
            <v>2.0499999999999998</v>
          </cell>
          <cell r="K1376" t="str">
            <v>Medium</v>
          </cell>
          <cell r="AB1376">
            <v>1.76</v>
          </cell>
        </row>
        <row r="1377">
          <cell r="B1377" t="str">
            <v>Praveen Kumar</v>
          </cell>
          <cell r="I1377" t="str">
            <v>Correct</v>
          </cell>
          <cell r="J1377">
            <v>1.57</v>
          </cell>
          <cell r="K1377" t="str">
            <v>High</v>
          </cell>
          <cell r="AB1377">
            <v>3</v>
          </cell>
        </row>
        <row r="1378">
          <cell r="B1378" t="str">
            <v>Praveen Kumar</v>
          </cell>
          <cell r="I1378" t="str">
            <v>Correct</v>
          </cell>
          <cell r="J1378">
            <v>2.21</v>
          </cell>
          <cell r="K1378" t="str">
            <v>High</v>
          </cell>
          <cell r="AB1378">
            <v>2.72</v>
          </cell>
        </row>
        <row r="1379">
          <cell r="B1379" t="str">
            <v>Praveen Kumar</v>
          </cell>
          <cell r="I1379" t="str">
            <v>Correct</v>
          </cell>
          <cell r="J1379">
            <v>1.25</v>
          </cell>
          <cell r="K1379" t="str">
            <v>High</v>
          </cell>
          <cell r="AB1379">
            <v>3</v>
          </cell>
        </row>
        <row r="1380">
          <cell r="B1380" t="str">
            <v>Praveen Kumar</v>
          </cell>
          <cell r="I1380" t="str">
            <v>Wrong</v>
          </cell>
          <cell r="J1380">
            <v>2.4</v>
          </cell>
          <cell r="K1380" t="str">
            <v>High</v>
          </cell>
          <cell r="AB1380">
            <v>0</v>
          </cell>
        </row>
        <row r="1381">
          <cell r="B1381" t="str">
            <v>Praveen Kumar</v>
          </cell>
          <cell r="I1381" t="str">
            <v>Wrong</v>
          </cell>
          <cell r="J1381">
            <v>1.58</v>
          </cell>
          <cell r="K1381" t="str">
            <v>High</v>
          </cell>
          <cell r="AB1381">
            <v>0</v>
          </cell>
        </row>
        <row r="1382">
          <cell r="B1382" t="str">
            <v>Rithika S</v>
          </cell>
          <cell r="I1382" t="str">
            <v>Correct</v>
          </cell>
          <cell r="J1382">
            <v>1.85</v>
          </cell>
          <cell r="K1382" t="str">
            <v>Low</v>
          </cell>
          <cell r="AB1382">
            <v>1.62</v>
          </cell>
        </row>
        <row r="1383">
          <cell r="B1383" t="str">
            <v>Rithika S</v>
          </cell>
          <cell r="I1383" t="str">
            <v>Wrong</v>
          </cell>
          <cell r="J1383">
            <v>1.36</v>
          </cell>
          <cell r="K1383" t="str">
            <v>Low</v>
          </cell>
          <cell r="AB1383">
            <v>0</v>
          </cell>
        </row>
        <row r="1384">
          <cell r="B1384" t="str">
            <v>Rithika S</v>
          </cell>
          <cell r="I1384" t="str">
            <v>Wrong</v>
          </cell>
          <cell r="J1384">
            <v>1.5</v>
          </cell>
          <cell r="K1384" t="str">
            <v>Low</v>
          </cell>
          <cell r="AB1384">
            <v>0</v>
          </cell>
        </row>
        <row r="1385">
          <cell r="B1385" t="str">
            <v>Rithika S</v>
          </cell>
          <cell r="I1385" t="str">
            <v>Correct</v>
          </cell>
          <cell r="J1385">
            <v>1.03</v>
          </cell>
          <cell r="K1385" t="str">
            <v>Low</v>
          </cell>
          <cell r="AB1385">
            <v>1</v>
          </cell>
        </row>
        <row r="1386">
          <cell r="B1386" t="str">
            <v>Rithika S</v>
          </cell>
          <cell r="I1386" t="str">
            <v>Correct</v>
          </cell>
          <cell r="J1386">
            <v>1.55</v>
          </cell>
          <cell r="K1386" t="str">
            <v>Low</v>
          </cell>
          <cell r="AB1386">
            <v>0.97</v>
          </cell>
        </row>
        <row r="1387">
          <cell r="B1387" t="str">
            <v>Rithika S</v>
          </cell>
          <cell r="I1387" t="str">
            <v>Correct</v>
          </cell>
          <cell r="J1387">
            <v>1.67</v>
          </cell>
          <cell r="K1387" t="str">
            <v>Low</v>
          </cell>
          <cell r="AB1387">
            <v>1.8</v>
          </cell>
        </row>
        <row r="1388">
          <cell r="B1388" t="str">
            <v>Rithika S</v>
          </cell>
          <cell r="I1388" t="str">
            <v>Wrong</v>
          </cell>
          <cell r="J1388">
            <v>0.9</v>
          </cell>
          <cell r="K1388" t="str">
            <v>Low</v>
          </cell>
          <cell r="AB1388">
            <v>0</v>
          </cell>
        </row>
        <row r="1389">
          <cell r="B1389" t="str">
            <v>Rithika S</v>
          </cell>
          <cell r="I1389" t="str">
            <v>Wrong</v>
          </cell>
          <cell r="J1389">
            <v>1.18</v>
          </cell>
          <cell r="K1389" t="str">
            <v>Low</v>
          </cell>
          <cell r="AB1389">
            <v>0</v>
          </cell>
        </row>
        <row r="1390">
          <cell r="B1390" t="str">
            <v>Rithika S</v>
          </cell>
          <cell r="I1390" t="str">
            <v>Wrong</v>
          </cell>
          <cell r="J1390">
            <v>1.87</v>
          </cell>
          <cell r="K1390" t="str">
            <v>Low</v>
          </cell>
          <cell r="AB1390">
            <v>0</v>
          </cell>
        </row>
        <row r="1391">
          <cell r="B1391" t="str">
            <v>Rithika S</v>
          </cell>
          <cell r="I1391" t="str">
            <v>Correct</v>
          </cell>
          <cell r="J1391">
            <v>1.1299999999999999</v>
          </cell>
          <cell r="K1391" t="str">
            <v>Medium</v>
          </cell>
          <cell r="AB1391">
            <v>2</v>
          </cell>
        </row>
        <row r="1392">
          <cell r="B1392" t="str">
            <v>Rithika S</v>
          </cell>
          <cell r="I1392" t="str">
            <v>Correct</v>
          </cell>
          <cell r="J1392">
            <v>1.1200000000000001</v>
          </cell>
          <cell r="K1392" t="str">
            <v>Medium</v>
          </cell>
          <cell r="AB1392">
            <v>2</v>
          </cell>
        </row>
        <row r="1393">
          <cell r="B1393" t="str">
            <v>Rithika S</v>
          </cell>
          <cell r="I1393" t="str">
            <v>Correct</v>
          </cell>
          <cell r="J1393">
            <v>1.49</v>
          </cell>
          <cell r="K1393" t="str">
            <v>Medium</v>
          </cell>
          <cell r="AB1393">
            <v>2</v>
          </cell>
        </row>
        <row r="1394">
          <cell r="B1394" t="str">
            <v>Rithika S</v>
          </cell>
          <cell r="I1394" t="str">
            <v>Correct</v>
          </cell>
          <cell r="J1394">
            <v>1.18</v>
          </cell>
          <cell r="K1394" t="str">
            <v>Medium</v>
          </cell>
          <cell r="AB1394">
            <v>2</v>
          </cell>
        </row>
        <row r="1395">
          <cell r="B1395" t="str">
            <v>Rithika S</v>
          </cell>
          <cell r="I1395" t="str">
            <v>Wrong</v>
          </cell>
          <cell r="J1395">
            <v>1.91</v>
          </cell>
          <cell r="K1395" t="str">
            <v>Medium</v>
          </cell>
          <cell r="AB1395">
            <v>0</v>
          </cell>
        </row>
        <row r="1396">
          <cell r="B1396" t="str">
            <v>Rithika S</v>
          </cell>
          <cell r="I1396" t="str">
            <v>Wrong</v>
          </cell>
          <cell r="J1396">
            <v>1.53</v>
          </cell>
          <cell r="K1396" t="str">
            <v>Medium</v>
          </cell>
          <cell r="AB1396">
            <v>0</v>
          </cell>
        </row>
        <row r="1397">
          <cell r="B1397" t="str">
            <v>Rithika S</v>
          </cell>
          <cell r="I1397" t="str">
            <v>Wrong</v>
          </cell>
          <cell r="J1397">
            <v>1.95</v>
          </cell>
          <cell r="K1397" t="str">
            <v>High</v>
          </cell>
          <cell r="AB1397">
            <v>0</v>
          </cell>
        </row>
        <row r="1398">
          <cell r="B1398" t="str">
            <v>Rithika S</v>
          </cell>
          <cell r="I1398" t="str">
            <v>Wrong</v>
          </cell>
          <cell r="J1398">
            <v>1.61</v>
          </cell>
          <cell r="K1398" t="str">
            <v>High</v>
          </cell>
          <cell r="AB1398">
            <v>0</v>
          </cell>
        </row>
        <row r="1399">
          <cell r="B1399" t="str">
            <v>Rithika S</v>
          </cell>
          <cell r="I1399" t="str">
            <v>Wrong</v>
          </cell>
          <cell r="J1399">
            <v>1.31</v>
          </cell>
          <cell r="K1399" t="str">
            <v>High</v>
          </cell>
          <cell r="AB1399">
            <v>0</v>
          </cell>
        </row>
        <row r="1400">
          <cell r="B1400" t="str">
            <v>Rithika S</v>
          </cell>
          <cell r="I1400" t="str">
            <v>Correct</v>
          </cell>
          <cell r="J1400">
            <v>1.3</v>
          </cell>
          <cell r="K1400" t="str">
            <v>High</v>
          </cell>
          <cell r="AB1400">
            <v>3</v>
          </cell>
        </row>
        <row r="1401">
          <cell r="B1401" t="str">
            <v>Rithika S</v>
          </cell>
          <cell r="I1401" t="str">
            <v>Wrong</v>
          </cell>
          <cell r="J1401">
            <v>1.83</v>
          </cell>
          <cell r="K1401" t="str">
            <v>High</v>
          </cell>
          <cell r="AB1401">
            <v>0</v>
          </cell>
        </row>
        <row r="1402">
          <cell r="B1402" t="str">
            <v>Sathish Kumar</v>
          </cell>
          <cell r="I1402" t="str">
            <v>Correct</v>
          </cell>
          <cell r="J1402">
            <v>1.74</v>
          </cell>
          <cell r="K1402" t="str">
            <v>Low</v>
          </cell>
          <cell r="AB1402">
            <v>1.72</v>
          </cell>
        </row>
        <row r="1403">
          <cell r="B1403" t="str">
            <v>Sathish Kumar</v>
          </cell>
          <cell r="I1403" t="str">
            <v>Correct</v>
          </cell>
          <cell r="J1403">
            <v>1.96</v>
          </cell>
          <cell r="K1403" t="str">
            <v>Low</v>
          </cell>
          <cell r="AB1403">
            <v>0.77</v>
          </cell>
        </row>
        <row r="1404">
          <cell r="B1404" t="str">
            <v>Sathish Kumar</v>
          </cell>
          <cell r="I1404" t="str">
            <v>Correct</v>
          </cell>
          <cell r="J1404">
            <v>1.28</v>
          </cell>
          <cell r="K1404" t="str">
            <v>Low</v>
          </cell>
          <cell r="AB1404">
            <v>2</v>
          </cell>
        </row>
        <row r="1405">
          <cell r="B1405" t="str">
            <v>Sathish Kumar</v>
          </cell>
          <cell r="I1405" t="str">
            <v>Correct</v>
          </cell>
          <cell r="J1405">
            <v>1.91</v>
          </cell>
          <cell r="K1405" t="str">
            <v>Low</v>
          </cell>
          <cell r="AB1405">
            <v>0.79</v>
          </cell>
        </row>
        <row r="1406">
          <cell r="B1406" t="str">
            <v>Sathish Kumar</v>
          </cell>
          <cell r="I1406" t="str">
            <v>Wrong</v>
          </cell>
          <cell r="J1406">
            <v>1.47</v>
          </cell>
          <cell r="K1406" t="str">
            <v>Low</v>
          </cell>
          <cell r="AB1406">
            <v>0</v>
          </cell>
        </row>
        <row r="1407">
          <cell r="B1407" t="str">
            <v>Sathish Kumar</v>
          </cell>
          <cell r="I1407" t="str">
            <v>Wrong</v>
          </cell>
          <cell r="J1407">
            <v>1.37</v>
          </cell>
          <cell r="K1407" t="str">
            <v>Low</v>
          </cell>
          <cell r="AB1407">
            <v>0</v>
          </cell>
        </row>
        <row r="1408">
          <cell r="B1408" t="str">
            <v>Sathish Kumar</v>
          </cell>
          <cell r="I1408" t="str">
            <v>Correct</v>
          </cell>
          <cell r="J1408">
            <v>1.71</v>
          </cell>
          <cell r="K1408" t="str">
            <v>Low</v>
          </cell>
          <cell r="AB1408">
            <v>0.88</v>
          </cell>
        </row>
        <row r="1409">
          <cell r="B1409" t="str">
            <v>Sathish Kumar</v>
          </cell>
          <cell r="I1409" t="str">
            <v>Wrong</v>
          </cell>
          <cell r="J1409">
            <v>1.61</v>
          </cell>
          <cell r="K1409" t="str">
            <v>Low</v>
          </cell>
          <cell r="AB1409">
            <v>0</v>
          </cell>
        </row>
        <row r="1410">
          <cell r="B1410" t="str">
            <v>Sathish Kumar</v>
          </cell>
          <cell r="I1410" t="str">
            <v>Correct</v>
          </cell>
          <cell r="J1410">
            <v>1.93</v>
          </cell>
          <cell r="K1410" t="str">
            <v>Low</v>
          </cell>
          <cell r="AB1410">
            <v>1.55</v>
          </cell>
        </row>
        <row r="1411">
          <cell r="B1411" t="str">
            <v>Sathish Kumar</v>
          </cell>
          <cell r="I1411" t="str">
            <v>Wrong</v>
          </cell>
          <cell r="J1411">
            <v>2.17</v>
          </cell>
          <cell r="K1411" t="str">
            <v>Medium</v>
          </cell>
          <cell r="AB1411">
            <v>0</v>
          </cell>
        </row>
        <row r="1412">
          <cell r="B1412" t="str">
            <v>Sathish Kumar</v>
          </cell>
          <cell r="I1412" t="str">
            <v>Wrong</v>
          </cell>
          <cell r="J1412">
            <v>1.31</v>
          </cell>
          <cell r="K1412" t="str">
            <v>Medium</v>
          </cell>
          <cell r="AB1412">
            <v>0</v>
          </cell>
        </row>
        <row r="1413">
          <cell r="B1413" t="str">
            <v>Sathish Kumar</v>
          </cell>
          <cell r="I1413" t="str">
            <v>Correct</v>
          </cell>
          <cell r="J1413">
            <v>2.25</v>
          </cell>
          <cell r="K1413" t="str">
            <v>Medium</v>
          </cell>
          <cell r="AB1413">
            <v>1.6</v>
          </cell>
        </row>
        <row r="1414">
          <cell r="B1414" t="str">
            <v>Sathish Kumar</v>
          </cell>
          <cell r="I1414" t="str">
            <v>Correct</v>
          </cell>
          <cell r="J1414">
            <v>2.29</v>
          </cell>
          <cell r="K1414" t="str">
            <v>Medium</v>
          </cell>
          <cell r="AB1414">
            <v>1.57</v>
          </cell>
        </row>
        <row r="1415">
          <cell r="B1415" t="str">
            <v>Sathish Kumar</v>
          </cell>
          <cell r="I1415" t="str">
            <v>Correct</v>
          </cell>
          <cell r="J1415">
            <v>1.29</v>
          </cell>
          <cell r="K1415" t="str">
            <v>Medium</v>
          </cell>
          <cell r="AB1415">
            <v>2</v>
          </cell>
        </row>
        <row r="1416">
          <cell r="B1416" t="str">
            <v>Sathish Kumar</v>
          </cell>
          <cell r="I1416" t="str">
            <v>Correct</v>
          </cell>
          <cell r="J1416">
            <v>1.32</v>
          </cell>
          <cell r="K1416" t="str">
            <v>Medium</v>
          </cell>
          <cell r="AB1416">
            <v>2</v>
          </cell>
        </row>
        <row r="1417">
          <cell r="B1417" t="str">
            <v>Sathish Kumar</v>
          </cell>
          <cell r="I1417" t="str">
            <v>Correct</v>
          </cell>
          <cell r="J1417">
            <v>2.17</v>
          </cell>
          <cell r="K1417" t="str">
            <v>High</v>
          </cell>
          <cell r="AB1417">
            <v>2.77</v>
          </cell>
        </row>
        <row r="1418">
          <cell r="B1418" t="str">
            <v>Sathish Kumar</v>
          </cell>
          <cell r="I1418" t="str">
            <v>Wrong</v>
          </cell>
          <cell r="J1418">
            <v>2.4300000000000002</v>
          </cell>
          <cell r="K1418" t="str">
            <v>High</v>
          </cell>
          <cell r="AB1418">
            <v>0</v>
          </cell>
        </row>
        <row r="1419">
          <cell r="B1419" t="str">
            <v>Sathish Kumar</v>
          </cell>
          <cell r="I1419" t="str">
            <v>Correct</v>
          </cell>
          <cell r="J1419">
            <v>1.65</v>
          </cell>
          <cell r="K1419" t="str">
            <v>High</v>
          </cell>
          <cell r="AB1419">
            <v>3</v>
          </cell>
        </row>
        <row r="1420">
          <cell r="B1420" t="str">
            <v>Sathish Kumar</v>
          </cell>
          <cell r="I1420" t="str">
            <v>Correct</v>
          </cell>
          <cell r="J1420">
            <v>1.2</v>
          </cell>
          <cell r="K1420" t="str">
            <v>High</v>
          </cell>
          <cell r="AB1420">
            <v>3</v>
          </cell>
        </row>
        <row r="1421">
          <cell r="B1421" t="str">
            <v>Sathish Kumar</v>
          </cell>
          <cell r="I1421" t="str">
            <v>Correct</v>
          </cell>
          <cell r="J1421">
            <v>1.56</v>
          </cell>
          <cell r="K1421" t="str">
            <v>High</v>
          </cell>
          <cell r="AB1421">
            <v>3</v>
          </cell>
        </row>
        <row r="1422">
          <cell r="B1422" t="str">
            <v>Tamilselvan R</v>
          </cell>
          <cell r="I1422" t="str">
            <v>Correct</v>
          </cell>
          <cell r="J1422">
            <v>1.1299999999999999</v>
          </cell>
          <cell r="K1422" t="str">
            <v>Low</v>
          </cell>
          <cell r="AB1422">
            <v>2</v>
          </cell>
        </row>
        <row r="1423">
          <cell r="B1423" t="str">
            <v>Tamilselvan R</v>
          </cell>
          <cell r="I1423" t="str">
            <v>Correct</v>
          </cell>
          <cell r="J1423">
            <v>1.71</v>
          </cell>
          <cell r="K1423" t="str">
            <v>Low</v>
          </cell>
          <cell r="AB1423">
            <v>0.88</v>
          </cell>
        </row>
        <row r="1424">
          <cell r="B1424" t="str">
            <v>Tamilselvan R</v>
          </cell>
          <cell r="I1424" t="str">
            <v>Correct</v>
          </cell>
          <cell r="J1424">
            <v>1.08</v>
          </cell>
          <cell r="K1424" t="str">
            <v>Low</v>
          </cell>
          <cell r="AB1424">
            <v>2</v>
          </cell>
        </row>
        <row r="1425">
          <cell r="B1425" t="str">
            <v>Tamilselvan R</v>
          </cell>
          <cell r="I1425" t="str">
            <v>Wrong</v>
          </cell>
          <cell r="J1425">
            <v>1.44</v>
          </cell>
          <cell r="K1425" t="str">
            <v>Low</v>
          </cell>
          <cell r="AB1425">
            <v>0</v>
          </cell>
        </row>
        <row r="1426">
          <cell r="B1426" t="str">
            <v>Tamilselvan R</v>
          </cell>
          <cell r="I1426" t="str">
            <v>Correct</v>
          </cell>
          <cell r="J1426">
            <v>1.23</v>
          </cell>
          <cell r="K1426" t="str">
            <v>Low</v>
          </cell>
          <cell r="AB1426">
            <v>1</v>
          </cell>
        </row>
        <row r="1427">
          <cell r="B1427" t="str">
            <v>Tamilselvan R</v>
          </cell>
          <cell r="I1427" t="str">
            <v>Wrong</v>
          </cell>
          <cell r="J1427">
            <v>1.31</v>
          </cell>
          <cell r="K1427" t="str">
            <v>Low</v>
          </cell>
          <cell r="AB1427">
            <v>0</v>
          </cell>
        </row>
        <row r="1428">
          <cell r="B1428" t="str">
            <v>Tamilselvan R</v>
          </cell>
          <cell r="I1428" t="str">
            <v>Correct</v>
          </cell>
          <cell r="J1428">
            <v>1.82</v>
          </cell>
          <cell r="K1428" t="str">
            <v>Low</v>
          </cell>
          <cell r="AB1428">
            <v>0.82</v>
          </cell>
        </row>
        <row r="1429">
          <cell r="B1429" t="str">
            <v>Tamilselvan R</v>
          </cell>
          <cell r="I1429" t="str">
            <v>Correct</v>
          </cell>
          <cell r="J1429">
            <v>1.0900000000000001</v>
          </cell>
          <cell r="K1429" t="str">
            <v>Low</v>
          </cell>
          <cell r="AB1429">
            <v>2</v>
          </cell>
        </row>
        <row r="1430">
          <cell r="B1430" t="str">
            <v>Tamilselvan R</v>
          </cell>
          <cell r="I1430" t="str">
            <v>Correct</v>
          </cell>
          <cell r="J1430">
            <v>1.45</v>
          </cell>
          <cell r="K1430" t="str">
            <v>Low</v>
          </cell>
          <cell r="AB1430">
            <v>2</v>
          </cell>
        </row>
        <row r="1431">
          <cell r="B1431" t="str">
            <v>Tamilselvan R</v>
          </cell>
          <cell r="I1431" t="str">
            <v>Wrong</v>
          </cell>
          <cell r="J1431">
            <v>1.3</v>
          </cell>
          <cell r="K1431" t="str">
            <v>Medium</v>
          </cell>
          <cell r="AB1431">
            <v>0</v>
          </cell>
        </row>
        <row r="1432">
          <cell r="B1432" t="str">
            <v>Tamilselvan R</v>
          </cell>
          <cell r="I1432" t="str">
            <v>Correct</v>
          </cell>
          <cell r="J1432">
            <v>1.71</v>
          </cell>
          <cell r="K1432" t="str">
            <v>Medium</v>
          </cell>
          <cell r="AB1432">
            <v>2</v>
          </cell>
        </row>
        <row r="1433">
          <cell r="B1433" t="str">
            <v>Tamilselvan R</v>
          </cell>
          <cell r="I1433" t="str">
            <v>Wrong</v>
          </cell>
          <cell r="J1433">
            <v>1.76</v>
          </cell>
          <cell r="K1433" t="str">
            <v>Medium</v>
          </cell>
          <cell r="AB1433">
            <v>0</v>
          </cell>
        </row>
        <row r="1434">
          <cell r="B1434" t="str">
            <v>Tamilselvan R</v>
          </cell>
          <cell r="I1434" t="str">
            <v>Wrong</v>
          </cell>
          <cell r="J1434">
            <v>2.0499999999999998</v>
          </cell>
          <cell r="K1434" t="str">
            <v>Medium</v>
          </cell>
          <cell r="AB1434">
            <v>0</v>
          </cell>
        </row>
        <row r="1435">
          <cell r="B1435" t="str">
            <v>Tamilselvan R</v>
          </cell>
          <cell r="I1435" t="str">
            <v>Correct</v>
          </cell>
          <cell r="J1435">
            <v>1.35</v>
          </cell>
          <cell r="K1435" t="str">
            <v>Medium</v>
          </cell>
          <cell r="AB1435">
            <v>2</v>
          </cell>
        </row>
        <row r="1436">
          <cell r="B1436" t="str">
            <v>Tamilselvan R</v>
          </cell>
          <cell r="I1436" t="str">
            <v>Wrong</v>
          </cell>
          <cell r="J1436">
            <v>2.15</v>
          </cell>
          <cell r="K1436" t="str">
            <v>Medium</v>
          </cell>
          <cell r="AB1436">
            <v>0</v>
          </cell>
        </row>
        <row r="1437">
          <cell r="B1437" t="str">
            <v>Tamilselvan R</v>
          </cell>
          <cell r="I1437" t="str">
            <v>Correct</v>
          </cell>
          <cell r="J1437">
            <v>2.27</v>
          </cell>
          <cell r="K1437" t="str">
            <v>High</v>
          </cell>
          <cell r="AB1437">
            <v>2.64</v>
          </cell>
        </row>
        <row r="1438">
          <cell r="B1438" t="str">
            <v>Tamilselvan R</v>
          </cell>
          <cell r="I1438" t="str">
            <v>Wrong</v>
          </cell>
          <cell r="J1438">
            <v>1.43</v>
          </cell>
          <cell r="K1438" t="str">
            <v>High</v>
          </cell>
          <cell r="AB1438">
            <v>0</v>
          </cell>
        </row>
        <row r="1439">
          <cell r="B1439" t="str">
            <v>Tamilselvan R</v>
          </cell>
          <cell r="I1439" t="str">
            <v>Correct</v>
          </cell>
          <cell r="J1439">
            <v>2.0099999999999998</v>
          </cell>
          <cell r="K1439" t="str">
            <v>High</v>
          </cell>
          <cell r="AB1439">
            <v>2.99</v>
          </cell>
        </row>
        <row r="1440">
          <cell r="B1440" t="str">
            <v>Tamilselvan R</v>
          </cell>
          <cell r="I1440" t="str">
            <v>Wrong</v>
          </cell>
          <cell r="J1440">
            <v>1.68</v>
          </cell>
          <cell r="K1440" t="str">
            <v>High</v>
          </cell>
          <cell r="AB1440">
            <v>0</v>
          </cell>
        </row>
        <row r="1441">
          <cell r="B1441" t="str">
            <v>Tamilselvan R</v>
          </cell>
          <cell r="I1441" t="str">
            <v>Wrong</v>
          </cell>
          <cell r="J1441">
            <v>2.27</v>
          </cell>
          <cell r="K1441" t="str">
            <v>High</v>
          </cell>
          <cell r="AB1441">
            <v>0</v>
          </cell>
        </row>
        <row r="1442">
          <cell r="B1442" t="str">
            <v>Abdul Rahman</v>
          </cell>
          <cell r="I1442" t="str">
            <v>Correct</v>
          </cell>
          <cell r="J1442">
            <v>1.33</v>
          </cell>
          <cell r="K1442" t="str">
            <v>Low</v>
          </cell>
          <cell r="AB1442">
            <v>2</v>
          </cell>
        </row>
        <row r="1443">
          <cell r="B1443" t="str">
            <v>Abdul Rahman</v>
          </cell>
          <cell r="I1443" t="str">
            <v>Correct</v>
          </cell>
          <cell r="J1443">
            <v>1.23</v>
          </cell>
          <cell r="K1443" t="str">
            <v>Low</v>
          </cell>
          <cell r="AB1443">
            <v>1</v>
          </cell>
        </row>
        <row r="1444">
          <cell r="B1444" t="str">
            <v>Abdul Rahman</v>
          </cell>
          <cell r="I1444" t="str">
            <v>Correct</v>
          </cell>
          <cell r="J1444">
            <v>1.47</v>
          </cell>
          <cell r="K1444" t="str">
            <v>Low</v>
          </cell>
          <cell r="AB1444">
            <v>2</v>
          </cell>
        </row>
        <row r="1445">
          <cell r="B1445" t="str">
            <v>Abdul Rahman</v>
          </cell>
          <cell r="I1445" t="str">
            <v>Correct</v>
          </cell>
          <cell r="J1445">
            <v>1.67</v>
          </cell>
          <cell r="K1445" t="str">
            <v>Low</v>
          </cell>
          <cell r="AB1445">
            <v>0.9</v>
          </cell>
        </row>
        <row r="1446">
          <cell r="B1446" t="str">
            <v>Abdul Rahman</v>
          </cell>
          <cell r="I1446" t="str">
            <v>Wrong</v>
          </cell>
          <cell r="J1446">
            <v>1.43</v>
          </cell>
          <cell r="K1446" t="str">
            <v>Low</v>
          </cell>
          <cell r="AB1446">
            <v>0</v>
          </cell>
        </row>
        <row r="1447">
          <cell r="B1447" t="str">
            <v>Abdul Rahman</v>
          </cell>
          <cell r="I1447" t="str">
            <v>Correct</v>
          </cell>
          <cell r="J1447">
            <v>1.51</v>
          </cell>
          <cell r="K1447" t="str">
            <v>Low</v>
          </cell>
          <cell r="AB1447">
            <v>1.99</v>
          </cell>
        </row>
        <row r="1448">
          <cell r="B1448" t="str">
            <v>Abdul Rahman</v>
          </cell>
          <cell r="I1448" t="str">
            <v>Correct</v>
          </cell>
          <cell r="J1448">
            <v>0.94</v>
          </cell>
          <cell r="K1448" t="str">
            <v>Low</v>
          </cell>
          <cell r="AB1448">
            <v>1</v>
          </cell>
        </row>
        <row r="1449">
          <cell r="B1449" t="str">
            <v>Abdul Rahman</v>
          </cell>
          <cell r="I1449" t="str">
            <v>Correct</v>
          </cell>
          <cell r="J1449">
            <v>2</v>
          </cell>
          <cell r="K1449" t="str">
            <v>Low</v>
          </cell>
          <cell r="AB1449">
            <v>1.5</v>
          </cell>
        </row>
        <row r="1450">
          <cell r="B1450" t="str">
            <v>Abdul Rahman</v>
          </cell>
          <cell r="I1450" t="str">
            <v>Correct</v>
          </cell>
          <cell r="J1450">
            <v>1.89</v>
          </cell>
          <cell r="K1450" t="str">
            <v>Low</v>
          </cell>
          <cell r="AB1450">
            <v>1.59</v>
          </cell>
        </row>
        <row r="1451">
          <cell r="B1451" t="str">
            <v>Abdul Rahman</v>
          </cell>
          <cell r="I1451" t="str">
            <v>Correct</v>
          </cell>
          <cell r="J1451">
            <v>1.84</v>
          </cell>
          <cell r="K1451" t="str">
            <v>Medium</v>
          </cell>
          <cell r="AB1451">
            <v>1.96</v>
          </cell>
        </row>
        <row r="1452">
          <cell r="B1452" t="str">
            <v>Abdul Rahman</v>
          </cell>
          <cell r="I1452" t="str">
            <v>Wrong</v>
          </cell>
          <cell r="J1452">
            <v>1.56</v>
          </cell>
          <cell r="K1452" t="str">
            <v>Medium</v>
          </cell>
          <cell r="AB1452">
            <v>0</v>
          </cell>
        </row>
        <row r="1453">
          <cell r="B1453" t="str">
            <v>Abdul Rahman</v>
          </cell>
          <cell r="I1453" t="str">
            <v>Correct</v>
          </cell>
          <cell r="J1453">
            <v>2.21</v>
          </cell>
          <cell r="K1453" t="str">
            <v>Medium</v>
          </cell>
          <cell r="AB1453">
            <v>1.63</v>
          </cell>
        </row>
        <row r="1454">
          <cell r="B1454" t="str">
            <v>Abdul Rahman</v>
          </cell>
          <cell r="I1454" t="str">
            <v>Wrong</v>
          </cell>
          <cell r="J1454">
            <v>1.43</v>
          </cell>
          <cell r="K1454" t="str">
            <v>Medium</v>
          </cell>
          <cell r="AB1454">
            <v>0</v>
          </cell>
        </row>
        <row r="1455">
          <cell r="B1455" t="str">
            <v>Abdul Rahman</v>
          </cell>
          <cell r="I1455" t="str">
            <v>Wrong</v>
          </cell>
          <cell r="J1455">
            <v>1.7</v>
          </cell>
          <cell r="K1455" t="str">
            <v>Medium</v>
          </cell>
          <cell r="AB1455">
            <v>0</v>
          </cell>
        </row>
        <row r="1456">
          <cell r="B1456" t="str">
            <v>Abdul Rahman</v>
          </cell>
          <cell r="I1456" t="str">
            <v>Correct</v>
          </cell>
          <cell r="J1456">
            <v>1.95</v>
          </cell>
          <cell r="K1456" t="str">
            <v>Medium</v>
          </cell>
          <cell r="AB1456">
            <v>1.85</v>
          </cell>
        </row>
        <row r="1457">
          <cell r="B1457" t="str">
            <v>Abdul Rahman</v>
          </cell>
          <cell r="I1457" t="str">
            <v>Correct</v>
          </cell>
          <cell r="J1457">
            <v>1.47</v>
          </cell>
          <cell r="K1457" t="str">
            <v>High</v>
          </cell>
          <cell r="AB1457">
            <v>3</v>
          </cell>
        </row>
        <row r="1458">
          <cell r="B1458" t="str">
            <v>Abdul Rahman</v>
          </cell>
          <cell r="I1458" t="str">
            <v>Correct</v>
          </cell>
          <cell r="J1458">
            <v>1.54</v>
          </cell>
          <cell r="K1458" t="str">
            <v>High</v>
          </cell>
          <cell r="AB1458">
            <v>3</v>
          </cell>
        </row>
        <row r="1459">
          <cell r="B1459" t="str">
            <v>Abdul Rahman</v>
          </cell>
          <cell r="I1459" t="str">
            <v>Wrong</v>
          </cell>
          <cell r="J1459">
            <v>2.25</v>
          </cell>
          <cell r="K1459" t="str">
            <v>High</v>
          </cell>
          <cell r="AB1459">
            <v>0</v>
          </cell>
        </row>
        <row r="1460">
          <cell r="B1460" t="str">
            <v>Abdul Rahman</v>
          </cell>
          <cell r="I1460" t="str">
            <v>Correct</v>
          </cell>
          <cell r="J1460">
            <v>2.25</v>
          </cell>
          <cell r="K1460" t="str">
            <v>High</v>
          </cell>
          <cell r="AB1460">
            <v>2.67</v>
          </cell>
        </row>
        <row r="1461">
          <cell r="B1461" t="str">
            <v>Abdul Rahman</v>
          </cell>
          <cell r="I1461" t="str">
            <v>Correct</v>
          </cell>
          <cell r="J1461">
            <v>2.4500000000000002</v>
          </cell>
          <cell r="K1461" t="str">
            <v>High</v>
          </cell>
          <cell r="AB1461">
            <v>2.4500000000000002</v>
          </cell>
        </row>
        <row r="1462">
          <cell r="B1462" t="str">
            <v>Bala Murugan</v>
          </cell>
          <cell r="I1462" t="str">
            <v>Correct</v>
          </cell>
          <cell r="J1462">
            <v>1.97</v>
          </cell>
          <cell r="K1462" t="str">
            <v>Low</v>
          </cell>
          <cell r="AB1462">
            <v>1.52</v>
          </cell>
        </row>
        <row r="1463">
          <cell r="B1463" t="str">
            <v>Bala Murugan</v>
          </cell>
          <cell r="I1463" t="str">
            <v>Wrong</v>
          </cell>
          <cell r="J1463">
            <v>0.91</v>
          </cell>
          <cell r="K1463" t="str">
            <v>Low</v>
          </cell>
          <cell r="AB1463">
            <v>0</v>
          </cell>
        </row>
        <row r="1464">
          <cell r="B1464" t="str">
            <v>Bala Murugan</v>
          </cell>
          <cell r="I1464" t="str">
            <v>Correct</v>
          </cell>
          <cell r="J1464">
            <v>1.51</v>
          </cell>
          <cell r="K1464" t="str">
            <v>Low</v>
          </cell>
          <cell r="AB1464">
            <v>1.99</v>
          </cell>
        </row>
        <row r="1465">
          <cell r="B1465" t="str">
            <v>Bala Murugan</v>
          </cell>
          <cell r="I1465" t="str">
            <v>Correct</v>
          </cell>
          <cell r="J1465">
            <v>1.57</v>
          </cell>
          <cell r="K1465" t="str">
            <v>Low</v>
          </cell>
          <cell r="AB1465">
            <v>0.96</v>
          </cell>
        </row>
        <row r="1466">
          <cell r="B1466" t="str">
            <v>Bala Murugan</v>
          </cell>
          <cell r="I1466" t="str">
            <v>Correct</v>
          </cell>
          <cell r="J1466">
            <v>1.18</v>
          </cell>
          <cell r="K1466" t="str">
            <v>Low</v>
          </cell>
          <cell r="AB1466">
            <v>1</v>
          </cell>
        </row>
        <row r="1467">
          <cell r="B1467" t="str">
            <v>Bala Murugan</v>
          </cell>
          <cell r="I1467" t="str">
            <v>Correct</v>
          </cell>
          <cell r="J1467">
            <v>1.08</v>
          </cell>
          <cell r="K1467" t="str">
            <v>Low</v>
          </cell>
          <cell r="AB1467">
            <v>2</v>
          </cell>
        </row>
        <row r="1468">
          <cell r="B1468" t="str">
            <v>Bala Murugan</v>
          </cell>
          <cell r="I1468" t="str">
            <v>Correct</v>
          </cell>
          <cell r="J1468">
            <v>1.67</v>
          </cell>
          <cell r="K1468" t="str">
            <v>Low</v>
          </cell>
          <cell r="AB1468">
            <v>0.9</v>
          </cell>
        </row>
        <row r="1469">
          <cell r="B1469" t="str">
            <v>Bala Murugan</v>
          </cell>
          <cell r="I1469" t="str">
            <v>Correct</v>
          </cell>
          <cell r="J1469">
            <v>1.22</v>
          </cell>
          <cell r="K1469" t="str">
            <v>Low</v>
          </cell>
          <cell r="AB1469">
            <v>2</v>
          </cell>
        </row>
        <row r="1470">
          <cell r="B1470" t="str">
            <v>Bala Murugan</v>
          </cell>
          <cell r="I1470" t="str">
            <v>Correct</v>
          </cell>
          <cell r="J1470">
            <v>1.18</v>
          </cell>
          <cell r="K1470" t="str">
            <v>Low</v>
          </cell>
          <cell r="AB1470">
            <v>2</v>
          </cell>
        </row>
        <row r="1471">
          <cell r="B1471" t="str">
            <v>Bala Murugan</v>
          </cell>
          <cell r="I1471" t="str">
            <v>Correct</v>
          </cell>
          <cell r="J1471">
            <v>1.5</v>
          </cell>
          <cell r="K1471" t="str">
            <v>Medium</v>
          </cell>
          <cell r="AB1471">
            <v>2</v>
          </cell>
        </row>
        <row r="1472">
          <cell r="B1472" t="str">
            <v>Bala Murugan</v>
          </cell>
          <cell r="I1472" t="str">
            <v>Correct</v>
          </cell>
          <cell r="J1472">
            <v>2.2999999999999998</v>
          </cell>
          <cell r="K1472" t="str">
            <v>Medium</v>
          </cell>
          <cell r="AB1472">
            <v>1.57</v>
          </cell>
        </row>
        <row r="1473">
          <cell r="B1473" t="str">
            <v>Bala Murugan</v>
          </cell>
          <cell r="I1473" t="str">
            <v>Correct</v>
          </cell>
          <cell r="J1473">
            <v>1.68</v>
          </cell>
          <cell r="K1473" t="str">
            <v>Medium</v>
          </cell>
          <cell r="AB1473">
            <v>2</v>
          </cell>
        </row>
        <row r="1474">
          <cell r="B1474" t="str">
            <v>Bala Murugan</v>
          </cell>
          <cell r="I1474" t="str">
            <v>Wrong</v>
          </cell>
          <cell r="J1474">
            <v>1.1100000000000001</v>
          </cell>
          <cell r="K1474" t="str">
            <v>Medium</v>
          </cell>
          <cell r="AB1474">
            <v>0</v>
          </cell>
        </row>
        <row r="1475">
          <cell r="B1475" t="str">
            <v>Bala Murugan</v>
          </cell>
          <cell r="I1475" t="str">
            <v>Wrong</v>
          </cell>
          <cell r="J1475">
            <v>1.28</v>
          </cell>
          <cell r="K1475" t="str">
            <v>Medium</v>
          </cell>
          <cell r="AB1475">
            <v>0</v>
          </cell>
        </row>
        <row r="1476">
          <cell r="B1476" t="str">
            <v>Bala Murugan</v>
          </cell>
          <cell r="I1476" t="str">
            <v>Wrong</v>
          </cell>
          <cell r="J1476">
            <v>2.29</v>
          </cell>
          <cell r="K1476" t="str">
            <v>Medium</v>
          </cell>
          <cell r="AB1476">
            <v>0</v>
          </cell>
        </row>
        <row r="1477">
          <cell r="B1477" t="str">
            <v>Bala Murugan</v>
          </cell>
          <cell r="I1477" t="str">
            <v>Wrong</v>
          </cell>
          <cell r="J1477">
            <v>1.99</v>
          </cell>
          <cell r="K1477" t="str">
            <v>High</v>
          </cell>
          <cell r="AB1477">
            <v>0</v>
          </cell>
        </row>
        <row r="1478">
          <cell r="B1478" t="str">
            <v>Bala Murugan</v>
          </cell>
          <cell r="I1478" t="str">
            <v>Wrong</v>
          </cell>
          <cell r="J1478">
            <v>1.63</v>
          </cell>
          <cell r="K1478" t="str">
            <v>High</v>
          </cell>
          <cell r="AB1478">
            <v>0</v>
          </cell>
        </row>
        <row r="1479">
          <cell r="B1479" t="str">
            <v>Bala Murugan</v>
          </cell>
          <cell r="I1479" t="str">
            <v>Correct</v>
          </cell>
          <cell r="J1479">
            <v>1.38</v>
          </cell>
          <cell r="K1479" t="str">
            <v>High</v>
          </cell>
          <cell r="AB1479">
            <v>3</v>
          </cell>
        </row>
        <row r="1480">
          <cell r="B1480" t="str">
            <v>Bala Murugan</v>
          </cell>
          <cell r="I1480" t="str">
            <v>Correct</v>
          </cell>
          <cell r="J1480">
            <v>1.54</v>
          </cell>
          <cell r="K1480" t="str">
            <v>High</v>
          </cell>
          <cell r="AB1480">
            <v>3</v>
          </cell>
        </row>
        <row r="1481">
          <cell r="B1481" t="str">
            <v>Bala Murugan</v>
          </cell>
          <cell r="I1481" t="str">
            <v>Correct</v>
          </cell>
          <cell r="J1481">
            <v>2.1</v>
          </cell>
          <cell r="K1481" t="str">
            <v>High</v>
          </cell>
          <cell r="AB1481">
            <v>2.86</v>
          </cell>
        </row>
        <row r="1482">
          <cell r="B1482" t="str">
            <v>Chitra Devi</v>
          </cell>
          <cell r="I1482" t="str">
            <v>Wrong</v>
          </cell>
          <cell r="J1482">
            <v>0.98</v>
          </cell>
          <cell r="K1482" t="str">
            <v>Low</v>
          </cell>
          <cell r="AB1482">
            <v>0</v>
          </cell>
        </row>
        <row r="1483">
          <cell r="B1483" t="str">
            <v>Chitra Devi</v>
          </cell>
          <cell r="I1483" t="str">
            <v>Wrong</v>
          </cell>
          <cell r="J1483">
            <v>1.07</v>
          </cell>
          <cell r="K1483" t="str">
            <v>Low</v>
          </cell>
          <cell r="AB1483">
            <v>0</v>
          </cell>
        </row>
        <row r="1484">
          <cell r="B1484" t="str">
            <v>Chitra Devi</v>
          </cell>
          <cell r="I1484" t="str">
            <v>Correct</v>
          </cell>
          <cell r="J1484">
            <v>1.45</v>
          </cell>
          <cell r="K1484" t="str">
            <v>Low</v>
          </cell>
          <cell r="AB1484">
            <v>2</v>
          </cell>
        </row>
        <row r="1485">
          <cell r="B1485" t="str">
            <v>Chitra Devi</v>
          </cell>
          <cell r="I1485" t="str">
            <v>Correct</v>
          </cell>
          <cell r="J1485">
            <v>1.38</v>
          </cell>
          <cell r="K1485" t="str">
            <v>Low</v>
          </cell>
          <cell r="AB1485">
            <v>1</v>
          </cell>
        </row>
        <row r="1486">
          <cell r="B1486" t="str">
            <v>Chitra Devi</v>
          </cell>
          <cell r="I1486" t="str">
            <v>Correct</v>
          </cell>
          <cell r="J1486">
            <v>1.62</v>
          </cell>
          <cell r="K1486" t="str">
            <v>Low</v>
          </cell>
          <cell r="AB1486">
            <v>0.93</v>
          </cell>
        </row>
        <row r="1487">
          <cell r="B1487" t="str">
            <v>Chitra Devi</v>
          </cell>
          <cell r="I1487" t="str">
            <v>Correct</v>
          </cell>
          <cell r="J1487">
            <v>1.79</v>
          </cell>
          <cell r="K1487" t="str">
            <v>Low</v>
          </cell>
          <cell r="AB1487">
            <v>1.68</v>
          </cell>
        </row>
        <row r="1488">
          <cell r="B1488" t="str">
            <v>Chitra Devi</v>
          </cell>
          <cell r="I1488" t="str">
            <v>Correct</v>
          </cell>
          <cell r="J1488">
            <v>1.54</v>
          </cell>
          <cell r="K1488" t="str">
            <v>Low</v>
          </cell>
          <cell r="AB1488">
            <v>0.97</v>
          </cell>
        </row>
        <row r="1489">
          <cell r="B1489" t="str">
            <v>Chitra Devi</v>
          </cell>
          <cell r="I1489" t="str">
            <v>Correct</v>
          </cell>
          <cell r="J1489">
            <v>1.04</v>
          </cell>
          <cell r="K1489" t="str">
            <v>Low</v>
          </cell>
          <cell r="AB1489">
            <v>2</v>
          </cell>
        </row>
        <row r="1490">
          <cell r="B1490" t="str">
            <v>Chitra Devi</v>
          </cell>
          <cell r="I1490" t="str">
            <v>Correct</v>
          </cell>
          <cell r="J1490">
            <v>1.31</v>
          </cell>
          <cell r="K1490" t="str">
            <v>Low</v>
          </cell>
          <cell r="AB1490">
            <v>2</v>
          </cell>
        </row>
        <row r="1491">
          <cell r="B1491" t="str">
            <v>Chitra Devi</v>
          </cell>
          <cell r="I1491" t="str">
            <v>Correct</v>
          </cell>
          <cell r="J1491">
            <v>1.48</v>
          </cell>
          <cell r="K1491" t="str">
            <v>Medium</v>
          </cell>
          <cell r="AB1491">
            <v>2</v>
          </cell>
        </row>
        <row r="1492">
          <cell r="B1492" t="str">
            <v>Chitra Devi</v>
          </cell>
          <cell r="I1492" t="str">
            <v>Correct</v>
          </cell>
          <cell r="J1492">
            <v>1.26</v>
          </cell>
          <cell r="K1492" t="str">
            <v>Medium</v>
          </cell>
          <cell r="AB1492">
            <v>2</v>
          </cell>
        </row>
        <row r="1493">
          <cell r="B1493" t="str">
            <v>Chitra Devi</v>
          </cell>
          <cell r="I1493" t="str">
            <v>Correct</v>
          </cell>
          <cell r="J1493">
            <v>1.52</v>
          </cell>
          <cell r="K1493" t="str">
            <v>Medium</v>
          </cell>
          <cell r="AB1493">
            <v>2</v>
          </cell>
        </row>
        <row r="1494">
          <cell r="B1494" t="str">
            <v>Chitra Devi</v>
          </cell>
          <cell r="I1494" t="str">
            <v>Wrong</v>
          </cell>
          <cell r="J1494">
            <v>1.67</v>
          </cell>
          <cell r="K1494" t="str">
            <v>Medium</v>
          </cell>
          <cell r="AB1494">
            <v>0</v>
          </cell>
        </row>
        <row r="1495">
          <cell r="B1495" t="str">
            <v>Chitra Devi</v>
          </cell>
          <cell r="I1495" t="str">
            <v>Correct</v>
          </cell>
          <cell r="J1495">
            <v>2.17</v>
          </cell>
          <cell r="K1495" t="str">
            <v>Medium</v>
          </cell>
          <cell r="AB1495">
            <v>1.66</v>
          </cell>
        </row>
        <row r="1496">
          <cell r="B1496" t="str">
            <v>Chitra Devi</v>
          </cell>
          <cell r="I1496" t="str">
            <v>Correct</v>
          </cell>
          <cell r="J1496">
            <v>1.62</v>
          </cell>
          <cell r="K1496" t="str">
            <v>Medium</v>
          </cell>
          <cell r="AB1496">
            <v>2</v>
          </cell>
        </row>
        <row r="1497">
          <cell r="B1497" t="str">
            <v>Chitra Devi</v>
          </cell>
          <cell r="I1497" t="str">
            <v>Correct</v>
          </cell>
          <cell r="J1497">
            <v>1.9</v>
          </cell>
          <cell r="K1497" t="str">
            <v>High</v>
          </cell>
          <cell r="AB1497">
            <v>3</v>
          </cell>
        </row>
        <row r="1498">
          <cell r="B1498" t="str">
            <v>Chitra Devi</v>
          </cell>
          <cell r="I1498" t="str">
            <v>Wrong</v>
          </cell>
          <cell r="J1498">
            <v>2.2799999999999998</v>
          </cell>
          <cell r="K1498" t="str">
            <v>High</v>
          </cell>
          <cell r="AB1498">
            <v>0</v>
          </cell>
        </row>
        <row r="1499">
          <cell r="B1499" t="str">
            <v>Chitra Devi</v>
          </cell>
          <cell r="I1499" t="str">
            <v>Correct</v>
          </cell>
          <cell r="J1499">
            <v>1.59</v>
          </cell>
          <cell r="K1499" t="str">
            <v>High</v>
          </cell>
          <cell r="AB1499">
            <v>3</v>
          </cell>
        </row>
        <row r="1500">
          <cell r="B1500" t="str">
            <v>Chitra Devi</v>
          </cell>
          <cell r="I1500" t="str">
            <v>Wrong</v>
          </cell>
          <cell r="J1500">
            <v>1.91</v>
          </cell>
          <cell r="K1500" t="str">
            <v>High</v>
          </cell>
          <cell r="AB1500">
            <v>0</v>
          </cell>
        </row>
        <row r="1501">
          <cell r="B1501" t="str">
            <v>Chitra Devi</v>
          </cell>
          <cell r="I1501" t="str">
            <v>Wrong</v>
          </cell>
          <cell r="J1501">
            <v>1.24</v>
          </cell>
          <cell r="K1501" t="str">
            <v>High</v>
          </cell>
          <cell r="AB1501">
            <v>0</v>
          </cell>
        </row>
        <row r="1502">
          <cell r="B1502" t="str">
            <v>Dhanush Kumar</v>
          </cell>
          <cell r="I1502" t="str">
            <v>Correct</v>
          </cell>
          <cell r="J1502">
            <v>1.84</v>
          </cell>
          <cell r="K1502" t="str">
            <v>Low</v>
          </cell>
          <cell r="AB1502">
            <v>1.63</v>
          </cell>
        </row>
        <row r="1503">
          <cell r="B1503" t="str">
            <v>Dhanush Kumar</v>
          </cell>
          <cell r="I1503" t="str">
            <v>Correct</v>
          </cell>
          <cell r="J1503">
            <v>1.82</v>
          </cell>
          <cell r="K1503" t="str">
            <v>Low</v>
          </cell>
          <cell r="AB1503">
            <v>0.82</v>
          </cell>
        </row>
        <row r="1504">
          <cell r="B1504" t="str">
            <v>Dhanush Kumar</v>
          </cell>
          <cell r="I1504" t="str">
            <v>Correct</v>
          </cell>
          <cell r="J1504">
            <v>1.44</v>
          </cell>
          <cell r="K1504" t="str">
            <v>Low</v>
          </cell>
          <cell r="AB1504">
            <v>2</v>
          </cell>
        </row>
        <row r="1505">
          <cell r="B1505" t="str">
            <v>Dhanush Kumar</v>
          </cell>
          <cell r="I1505" t="str">
            <v>Correct</v>
          </cell>
          <cell r="J1505">
            <v>1.99</v>
          </cell>
          <cell r="K1505" t="str">
            <v>Low</v>
          </cell>
          <cell r="AB1505">
            <v>0.75</v>
          </cell>
        </row>
        <row r="1506">
          <cell r="B1506" t="str">
            <v>Dhanush Kumar</v>
          </cell>
          <cell r="I1506" t="str">
            <v>Wrong</v>
          </cell>
          <cell r="J1506">
            <v>1.92</v>
          </cell>
          <cell r="K1506" t="str">
            <v>Low</v>
          </cell>
          <cell r="AB1506">
            <v>0</v>
          </cell>
        </row>
        <row r="1507">
          <cell r="B1507" t="str">
            <v>Dhanush Kumar</v>
          </cell>
          <cell r="I1507" t="str">
            <v>Correct</v>
          </cell>
          <cell r="J1507">
            <v>1.81</v>
          </cell>
          <cell r="K1507" t="str">
            <v>Low</v>
          </cell>
          <cell r="AB1507">
            <v>1.66</v>
          </cell>
        </row>
        <row r="1508">
          <cell r="B1508" t="str">
            <v>Dhanush Kumar</v>
          </cell>
          <cell r="I1508" t="str">
            <v>Correct</v>
          </cell>
          <cell r="J1508">
            <v>1.63</v>
          </cell>
          <cell r="K1508" t="str">
            <v>Low</v>
          </cell>
          <cell r="AB1508">
            <v>0.92</v>
          </cell>
        </row>
        <row r="1509">
          <cell r="B1509" t="str">
            <v>Dhanush Kumar</v>
          </cell>
          <cell r="I1509" t="str">
            <v>Correct</v>
          </cell>
          <cell r="J1509">
            <v>0.92</v>
          </cell>
          <cell r="K1509" t="str">
            <v>Low</v>
          </cell>
          <cell r="AB1509">
            <v>2</v>
          </cell>
        </row>
        <row r="1510">
          <cell r="B1510" t="str">
            <v>Dhanush Kumar</v>
          </cell>
          <cell r="I1510" t="str">
            <v>Correct</v>
          </cell>
          <cell r="J1510">
            <v>1.42</v>
          </cell>
          <cell r="K1510" t="str">
            <v>Low</v>
          </cell>
          <cell r="AB1510">
            <v>2</v>
          </cell>
        </row>
        <row r="1511">
          <cell r="B1511" t="str">
            <v>Dhanush Kumar</v>
          </cell>
          <cell r="I1511" t="str">
            <v>Correct</v>
          </cell>
          <cell r="J1511">
            <v>1.1299999999999999</v>
          </cell>
          <cell r="K1511" t="str">
            <v>Medium</v>
          </cell>
          <cell r="AB1511">
            <v>2</v>
          </cell>
        </row>
        <row r="1512">
          <cell r="B1512" t="str">
            <v>Dhanush Kumar</v>
          </cell>
          <cell r="I1512" t="str">
            <v>Correct</v>
          </cell>
          <cell r="J1512">
            <v>1.88</v>
          </cell>
          <cell r="K1512" t="str">
            <v>Medium</v>
          </cell>
          <cell r="AB1512">
            <v>1.91</v>
          </cell>
        </row>
        <row r="1513">
          <cell r="B1513" t="str">
            <v>Dhanush Kumar</v>
          </cell>
          <cell r="I1513" t="str">
            <v>Wrong</v>
          </cell>
          <cell r="J1513">
            <v>1.57</v>
          </cell>
          <cell r="K1513" t="str">
            <v>Medium</v>
          </cell>
          <cell r="AB1513">
            <v>0</v>
          </cell>
        </row>
        <row r="1514">
          <cell r="B1514" t="str">
            <v>Dhanush Kumar</v>
          </cell>
          <cell r="I1514" t="str">
            <v>Correct</v>
          </cell>
          <cell r="J1514">
            <v>2.19</v>
          </cell>
          <cell r="K1514" t="str">
            <v>Medium</v>
          </cell>
          <cell r="AB1514">
            <v>1.64</v>
          </cell>
        </row>
        <row r="1515">
          <cell r="B1515" t="str">
            <v>Dhanush Kumar</v>
          </cell>
          <cell r="I1515" t="str">
            <v>Wrong</v>
          </cell>
          <cell r="J1515">
            <v>1.1000000000000001</v>
          </cell>
          <cell r="K1515" t="str">
            <v>Medium</v>
          </cell>
          <cell r="AB1515">
            <v>0</v>
          </cell>
        </row>
        <row r="1516">
          <cell r="B1516" t="str">
            <v>Dhanush Kumar</v>
          </cell>
          <cell r="I1516" t="str">
            <v>Correct</v>
          </cell>
          <cell r="J1516">
            <v>1.34</v>
          </cell>
          <cell r="K1516" t="str">
            <v>Medium</v>
          </cell>
          <cell r="AB1516">
            <v>2</v>
          </cell>
        </row>
        <row r="1517">
          <cell r="B1517" t="str">
            <v>Dhanush Kumar</v>
          </cell>
          <cell r="I1517" t="str">
            <v>Wrong</v>
          </cell>
          <cell r="J1517">
            <v>2.1800000000000002</v>
          </cell>
          <cell r="K1517" t="str">
            <v>High</v>
          </cell>
          <cell r="AB1517">
            <v>0</v>
          </cell>
        </row>
        <row r="1518">
          <cell r="B1518" t="str">
            <v>Dhanush Kumar</v>
          </cell>
          <cell r="I1518" t="str">
            <v>Wrong</v>
          </cell>
          <cell r="J1518">
            <v>1.73</v>
          </cell>
          <cell r="K1518" t="str">
            <v>High</v>
          </cell>
          <cell r="AB1518">
            <v>0</v>
          </cell>
        </row>
        <row r="1519">
          <cell r="B1519" t="str">
            <v>Dhanush Kumar</v>
          </cell>
          <cell r="I1519" t="str">
            <v>Correct</v>
          </cell>
          <cell r="J1519">
            <v>2.58</v>
          </cell>
          <cell r="K1519" t="str">
            <v>High</v>
          </cell>
          <cell r="AB1519">
            <v>2.33</v>
          </cell>
        </row>
        <row r="1520">
          <cell r="B1520" t="str">
            <v>Dhanush Kumar</v>
          </cell>
          <cell r="I1520" t="str">
            <v>Correct</v>
          </cell>
          <cell r="J1520">
            <v>1.3</v>
          </cell>
          <cell r="K1520" t="str">
            <v>High</v>
          </cell>
          <cell r="AB1520">
            <v>3</v>
          </cell>
        </row>
        <row r="1521">
          <cell r="B1521" t="str">
            <v>Dhanush Kumar</v>
          </cell>
          <cell r="I1521" t="str">
            <v>Wrong</v>
          </cell>
          <cell r="J1521">
            <v>1.94</v>
          </cell>
          <cell r="K1521" t="str">
            <v>High</v>
          </cell>
          <cell r="AB1521">
            <v>0</v>
          </cell>
        </row>
        <row r="1522">
          <cell r="B1522" t="str">
            <v>Esther Mary</v>
          </cell>
          <cell r="I1522" t="str">
            <v>Correct</v>
          </cell>
          <cell r="J1522">
            <v>1.85</v>
          </cell>
          <cell r="K1522" t="str">
            <v>Low</v>
          </cell>
          <cell r="AB1522">
            <v>1.62</v>
          </cell>
        </row>
        <row r="1523">
          <cell r="B1523" t="str">
            <v>Esther Mary</v>
          </cell>
          <cell r="I1523" t="str">
            <v>Wrong</v>
          </cell>
          <cell r="J1523">
            <v>1.6</v>
          </cell>
          <cell r="K1523" t="str">
            <v>Low</v>
          </cell>
          <cell r="AB1523">
            <v>0</v>
          </cell>
        </row>
        <row r="1524">
          <cell r="B1524" t="str">
            <v>Esther Mary</v>
          </cell>
          <cell r="I1524" t="str">
            <v>Wrong</v>
          </cell>
          <cell r="J1524">
            <v>1.71</v>
          </cell>
          <cell r="K1524" t="str">
            <v>Low</v>
          </cell>
          <cell r="AB1524">
            <v>0</v>
          </cell>
        </row>
        <row r="1525">
          <cell r="B1525" t="str">
            <v>Esther Mary</v>
          </cell>
          <cell r="I1525" t="str">
            <v>Correct</v>
          </cell>
          <cell r="J1525">
            <v>1.33</v>
          </cell>
          <cell r="K1525" t="str">
            <v>Low</v>
          </cell>
          <cell r="AB1525">
            <v>1</v>
          </cell>
        </row>
        <row r="1526">
          <cell r="B1526" t="str">
            <v>Esther Mary</v>
          </cell>
          <cell r="I1526" t="str">
            <v>Correct</v>
          </cell>
          <cell r="J1526">
            <v>1.77</v>
          </cell>
          <cell r="K1526" t="str">
            <v>Low</v>
          </cell>
          <cell r="AB1526">
            <v>0.85</v>
          </cell>
        </row>
        <row r="1527">
          <cell r="B1527" t="str">
            <v>Esther Mary</v>
          </cell>
          <cell r="I1527" t="str">
            <v>Correct</v>
          </cell>
          <cell r="J1527">
            <v>1.06</v>
          </cell>
          <cell r="K1527" t="str">
            <v>Low</v>
          </cell>
          <cell r="AB1527">
            <v>2</v>
          </cell>
        </row>
        <row r="1528">
          <cell r="B1528" t="str">
            <v>Esther Mary</v>
          </cell>
          <cell r="I1528" t="str">
            <v>Wrong</v>
          </cell>
          <cell r="J1528">
            <v>0.94</v>
          </cell>
          <cell r="K1528" t="str">
            <v>Low</v>
          </cell>
          <cell r="AB1528">
            <v>0</v>
          </cell>
        </row>
        <row r="1529">
          <cell r="B1529" t="str">
            <v>Esther Mary</v>
          </cell>
          <cell r="I1529" t="str">
            <v>Correct</v>
          </cell>
          <cell r="J1529">
            <v>1.88</v>
          </cell>
          <cell r="K1529" t="str">
            <v>Low</v>
          </cell>
          <cell r="AB1529">
            <v>1.6</v>
          </cell>
        </row>
        <row r="1530">
          <cell r="B1530" t="str">
            <v>Esther Mary</v>
          </cell>
          <cell r="I1530" t="str">
            <v>Correct</v>
          </cell>
          <cell r="J1530">
            <v>1.75</v>
          </cell>
          <cell r="K1530" t="str">
            <v>Low</v>
          </cell>
          <cell r="AB1530">
            <v>1.71</v>
          </cell>
        </row>
        <row r="1531">
          <cell r="B1531" t="str">
            <v>Esther Mary</v>
          </cell>
          <cell r="I1531" t="str">
            <v>Correct</v>
          </cell>
          <cell r="J1531">
            <v>2.04</v>
          </cell>
          <cell r="K1531" t="str">
            <v>Medium</v>
          </cell>
          <cell r="AB1531">
            <v>1.76</v>
          </cell>
        </row>
        <row r="1532">
          <cell r="B1532" t="str">
            <v>Esther Mary</v>
          </cell>
          <cell r="I1532" t="str">
            <v>Correct</v>
          </cell>
          <cell r="J1532">
            <v>2.13</v>
          </cell>
          <cell r="K1532" t="str">
            <v>Medium</v>
          </cell>
          <cell r="AB1532">
            <v>1.69</v>
          </cell>
        </row>
        <row r="1533">
          <cell r="B1533" t="str">
            <v>Esther Mary</v>
          </cell>
          <cell r="I1533" t="str">
            <v>Correct</v>
          </cell>
          <cell r="J1533">
            <v>2.2599999999999998</v>
          </cell>
          <cell r="K1533" t="str">
            <v>Medium</v>
          </cell>
          <cell r="AB1533">
            <v>1.59</v>
          </cell>
        </row>
        <row r="1534">
          <cell r="B1534" t="str">
            <v>Esther Mary</v>
          </cell>
          <cell r="I1534" t="str">
            <v>Correct</v>
          </cell>
          <cell r="J1534">
            <v>2.0499999999999998</v>
          </cell>
          <cell r="K1534" t="str">
            <v>Medium</v>
          </cell>
          <cell r="AB1534">
            <v>1.76</v>
          </cell>
        </row>
        <row r="1535">
          <cell r="B1535" t="str">
            <v>Esther Mary</v>
          </cell>
          <cell r="I1535" t="str">
            <v>Correct</v>
          </cell>
          <cell r="J1535">
            <v>2.25</v>
          </cell>
          <cell r="K1535" t="str">
            <v>Medium</v>
          </cell>
          <cell r="AB1535">
            <v>1.6</v>
          </cell>
        </row>
        <row r="1536">
          <cell r="B1536" t="str">
            <v>Esther Mary</v>
          </cell>
          <cell r="I1536" t="str">
            <v>Wrong</v>
          </cell>
          <cell r="J1536">
            <v>1.79</v>
          </cell>
          <cell r="K1536" t="str">
            <v>Medium</v>
          </cell>
          <cell r="AB1536">
            <v>0</v>
          </cell>
        </row>
        <row r="1537">
          <cell r="B1537" t="str">
            <v>Esther Mary</v>
          </cell>
          <cell r="I1537" t="str">
            <v>Wrong</v>
          </cell>
          <cell r="J1537">
            <v>1.32</v>
          </cell>
          <cell r="K1537" t="str">
            <v>High</v>
          </cell>
          <cell r="AB1537">
            <v>0</v>
          </cell>
        </row>
        <row r="1538">
          <cell r="B1538" t="str">
            <v>Esther Mary</v>
          </cell>
          <cell r="I1538" t="str">
            <v>Correct</v>
          </cell>
          <cell r="J1538">
            <v>1.93</v>
          </cell>
          <cell r="K1538" t="str">
            <v>High</v>
          </cell>
          <cell r="AB1538">
            <v>3</v>
          </cell>
        </row>
        <row r="1539">
          <cell r="B1539" t="str">
            <v>Esther Mary</v>
          </cell>
          <cell r="I1539" t="str">
            <v>Correct</v>
          </cell>
          <cell r="J1539">
            <v>1.39</v>
          </cell>
          <cell r="K1539" t="str">
            <v>High</v>
          </cell>
          <cell r="AB1539">
            <v>3</v>
          </cell>
        </row>
        <row r="1540">
          <cell r="B1540" t="str">
            <v>Esther Mary</v>
          </cell>
          <cell r="I1540" t="str">
            <v>Wrong</v>
          </cell>
          <cell r="J1540">
            <v>1.41</v>
          </cell>
          <cell r="K1540" t="str">
            <v>High</v>
          </cell>
          <cell r="AB1540">
            <v>0</v>
          </cell>
        </row>
        <row r="1541">
          <cell r="B1541" t="str">
            <v>Esther Mary</v>
          </cell>
          <cell r="I1541" t="str">
            <v>Wrong</v>
          </cell>
          <cell r="J1541">
            <v>2.2999999999999998</v>
          </cell>
          <cell r="K1541" t="str">
            <v>High</v>
          </cell>
          <cell r="AB1541">
            <v>0</v>
          </cell>
        </row>
        <row r="1542">
          <cell r="B1542" t="str">
            <v>Fathima Banu</v>
          </cell>
          <cell r="I1542" t="str">
            <v>Wrong</v>
          </cell>
          <cell r="J1542">
            <v>1.62</v>
          </cell>
          <cell r="K1542" t="str">
            <v>Low</v>
          </cell>
          <cell r="AB1542">
            <v>0</v>
          </cell>
        </row>
        <row r="1543">
          <cell r="B1543" t="str">
            <v>Fathima Banu</v>
          </cell>
          <cell r="I1543" t="str">
            <v>Correct</v>
          </cell>
          <cell r="J1543">
            <v>1.59</v>
          </cell>
          <cell r="K1543" t="str">
            <v>Low</v>
          </cell>
          <cell r="AB1543">
            <v>0.94</v>
          </cell>
        </row>
        <row r="1544">
          <cell r="B1544" t="str">
            <v>Fathima Banu</v>
          </cell>
          <cell r="I1544" t="str">
            <v>Correct</v>
          </cell>
          <cell r="J1544">
            <v>1.18</v>
          </cell>
          <cell r="K1544" t="str">
            <v>Low</v>
          </cell>
          <cell r="AB1544">
            <v>2</v>
          </cell>
        </row>
        <row r="1545">
          <cell r="B1545" t="str">
            <v>Fathima Banu</v>
          </cell>
          <cell r="I1545" t="str">
            <v>Correct</v>
          </cell>
          <cell r="J1545">
            <v>1.21</v>
          </cell>
          <cell r="K1545" t="str">
            <v>Low</v>
          </cell>
          <cell r="AB1545">
            <v>1</v>
          </cell>
        </row>
        <row r="1546">
          <cell r="B1546" t="str">
            <v>Fathima Banu</v>
          </cell>
          <cell r="I1546" t="str">
            <v>Wrong</v>
          </cell>
          <cell r="J1546">
            <v>1.27</v>
          </cell>
          <cell r="K1546" t="str">
            <v>Low</v>
          </cell>
          <cell r="AB1546">
            <v>0</v>
          </cell>
        </row>
        <row r="1547">
          <cell r="B1547" t="str">
            <v>Fathima Banu</v>
          </cell>
          <cell r="I1547" t="str">
            <v>Correct</v>
          </cell>
          <cell r="J1547">
            <v>1.47</v>
          </cell>
          <cell r="K1547" t="str">
            <v>Low</v>
          </cell>
          <cell r="AB1547">
            <v>2</v>
          </cell>
        </row>
        <row r="1548">
          <cell r="B1548" t="str">
            <v>Fathima Banu</v>
          </cell>
          <cell r="I1548" t="str">
            <v>Correct</v>
          </cell>
          <cell r="J1548">
            <v>1.92</v>
          </cell>
          <cell r="K1548" t="str">
            <v>Low</v>
          </cell>
          <cell r="AB1548">
            <v>0.78</v>
          </cell>
        </row>
        <row r="1549">
          <cell r="B1549" t="str">
            <v>Fathima Banu</v>
          </cell>
          <cell r="I1549" t="str">
            <v>Correct</v>
          </cell>
          <cell r="J1549">
            <v>1.66</v>
          </cell>
          <cell r="K1549" t="str">
            <v>Low</v>
          </cell>
          <cell r="AB1549">
            <v>1.81</v>
          </cell>
        </row>
        <row r="1550">
          <cell r="B1550" t="str">
            <v>Fathima Banu</v>
          </cell>
          <cell r="I1550" t="str">
            <v>Correct</v>
          </cell>
          <cell r="J1550">
            <v>1.69</v>
          </cell>
          <cell r="K1550" t="str">
            <v>Low</v>
          </cell>
          <cell r="AB1550">
            <v>1.78</v>
          </cell>
        </row>
        <row r="1551">
          <cell r="B1551" t="str">
            <v>Fathima Banu</v>
          </cell>
          <cell r="I1551" t="str">
            <v>Correct</v>
          </cell>
          <cell r="J1551">
            <v>1.18</v>
          </cell>
          <cell r="K1551" t="str">
            <v>Medium</v>
          </cell>
          <cell r="AB1551">
            <v>2</v>
          </cell>
        </row>
        <row r="1552">
          <cell r="B1552" t="str">
            <v>Fathima Banu</v>
          </cell>
          <cell r="I1552" t="str">
            <v>Correct</v>
          </cell>
          <cell r="J1552">
            <v>1.84</v>
          </cell>
          <cell r="K1552" t="str">
            <v>Medium</v>
          </cell>
          <cell r="AB1552">
            <v>1.96</v>
          </cell>
        </row>
        <row r="1553">
          <cell r="B1553" t="str">
            <v>Fathima Banu</v>
          </cell>
          <cell r="I1553" t="str">
            <v>Correct</v>
          </cell>
          <cell r="J1553">
            <v>1.1100000000000001</v>
          </cell>
          <cell r="K1553" t="str">
            <v>Medium</v>
          </cell>
          <cell r="AB1553">
            <v>2</v>
          </cell>
        </row>
        <row r="1554">
          <cell r="B1554" t="str">
            <v>Fathima Banu</v>
          </cell>
          <cell r="I1554" t="str">
            <v>Correct</v>
          </cell>
          <cell r="J1554">
            <v>1.94</v>
          </cell>
          <cell r="K1554" t="str">
            <v>Medium</v>
          </cell>
          <cell r="AB1554">
            <v>1.86</v>
          </cell>
        </row>
        <row r="1555">
          <cell r="B1555" t="str">
            <v>Fathima Banu</v>
          </cell>
          <cell r="I1555" t="str">
            <v>Wrong</v>
          </cell>
          <cell r="J1555">
            <v>1.92</v>
          </cell>
          <cell r="K1555" t="str">
            <v>Medium</v>
          </cell>
          <cell r="AB1555">
            <v>0</v>
          </cell>
        </row>
        <row r="1556">
          <cell r="B1556" t="str">
            <v>Fathima Banu</v>
          </cell>
          <cell r="I1556" t="str">
            <v>Wrong</v>
          </cell>
          <cell r="J1556">
            <v>1.69</v>
          </cell>
          <cell r="K1556" t="str">
            <v>Medium</v>
          </cell>
          <cell r="AB1556">
            <v>0</v>
          </cell>
        </row>
        <row r="1557">
          <cell r="B1557" t="str">
            <v>Fathima Banu</v>
          </cell>
          <cell r="I1557" t="str">
            <v>Correct</v>
          </cell>
          <cell r="J1557">
            <v>1.33</v>
          </cell>
          <cell r="K1557" t="str">
            <v>High</v>
          </cell>
          <cell r="AB1557">
            <v>3</v>
          </cell>
        </row>
        <row r="1558">
          <cell r="B1558" t="str">
            <v>Fathima Banu</v>
          </cell>
          <cell r="I1558" t="str">
            <v>Wrong</v>
          </cell>
          <cell r="J1558">
            <v>2.0699999999999998</v>
          </cell>
          <cell r="K1558" t="str">
            <v>High</v>
          </cell>
          <cell r="AB1558">
            <v>0</v>
          </cell>
        </row>
        <row r="1559">
          <cell r="B1559" t="str">
            <v>Fathima Banu</v>
          </cell>
          <cell r="I1559" t="str">
            <v>Wrong</v>
          </cell>
          <cell r="J1559">
            <v>2.35</v>
          </cell>
          <cell r="K1559" t="str">
            <v>High</v>
          </cell>
          <cell r="AB1559">
            <v>0</v>
          </cell>
        </row>
        <row r="1560">
          <cell r="B1560" t="str">
            <v>Fathima Banu</v>
          </cell>
          <cell r="I1560" t="str">
            <v>Wrong</v>
          </cell>
          <cell r="J1560">
            <v>1.72</v>
          </cell>
          <cell r="K1560" t="str">
            <v>High</v>
          </cell>
          <cell r="AB1560">
            <v>0</v>
          </cell>
        </row>
        <row r="1561">
          <cell r="B1561" t="str">
            <v>Fathima Banu</v>
          </cell>
          <cell r="I1561" t="str">
            <v>Wrong</v>
          </cell>
          <cell r="J1561">
            <v>2.48</v>
          </cell>
          <cell r="K1561" t="str">
            <v>High</v>
          </cell>
          <cell r="AB1561">
            <v>0</v>
          </cell>
        </row>
        <row r="1562">
          <cell r="B1562" t="str">
            <v>Ganesh Babu</v>
          </cell>
          <cell r="I1562" t="str">
            <v>Correct</v>
          </cell>
          <cell r="J1562">
            <v>1.87</v>
          </cell>
          <cell r="K1562" t="str">
            <v>Low</v>
          </cell>
          <cell r="AB1562">
            <v>1.6</v>
          </cell>
        </row>
        <row r="1563">
          <cell r="B1563" t="str">
            <v>Ganesh Babu</v>
          </cell>
          <cell r="I1563" t="str">
            <v>Correct</v>
          </cell>
          <cell r="J1563">
            <v>1.25</v>
          </cell>
          <cell r="K1563" t="str">
            <v>Low</v>
          </cell>
          <cell r="AB1563">
            <v>1</v>
          </cell>
        </row>
        <row r="1564">
          <cell r="B1564" t="str">
            <v>Ganesh Babu</v>
          </cell>
          <cell r="I1564" t="str">
            <v>Correct</v>
          </cell>
          <cell r="J1564">
            <v>1.18</v>
          </cell>
          <cell r="K1564" t="str">
            <v>Low</v>
          </cell>
          <cell r="AB1564">
            <v>2</v>
          </cell>
        </row>
        <row r="1565">
          <cell r="B1565" t="str">
            <v>Ganesh Babu</v>
          </cell>
          <cell r="I1565" t="str">
            <v>Correct</v>
          </cell>
          <cell r="J1565">
            <v>1.49</v>
          </cell>
          <cell r="K1565" t="str">
            <v>Low</v>
          </cell>
          <cell r="AB1565">
            <v>1</v>
          </cell>
        </row>
        <row r="1566">
          <cell r="B1566" t="str">
            <v>Ganesh Babu</v>
          </cell>
          <cell r="I1566" t="str">
            <v>Correct</v>
          </cell>
          <cell r="J1566">
            <v>1.05</v>
          </cell>
          <cell r="K1566" t="str">
            <v>Low</v>
          </cell>
          <cell r="AB1566">
            <v>1</v>
          </cell>
        </row>
        <row r="1567">
          <cell r="B1567" t="str">
            <v>Ganesh Babu</v>
          </cell>
          <cell r="I1567" t="str">
            <v>Correct</v>
          </cell>
          <cell r="J1567">
            <v>1.37</v>
          </cell>
          <cell r="K1567" t="str">
            <v>Low</v>
          </cell>
          <cell r="AB1567">
            <v>2</v>
          </cell>
        </row>
        <row r="1568">
          <cell r="B1568" t="str">
            <v>Ganesh Babu</v>
          </cell>
          <cell r="I1568" t="str">
            <v>Correct</v>
          </cell>
          <cell r="J1568">
            <v>1.65</v>
          </cell>
          <cell r="K1568" t="str">
            <v>Low</v>
          </cell>
          <cell r="AB1568">
            <v>0.91</v>
          </cell>
        </row>
        <row r="1569">
          <cell r="B1569" t="str">
            <v>Ganesh Babu</v>
          </cell>
          <cell r="I1569" t="str">
            <v>Wrong</v>
          </cell>
          <cell r="J1569">
            <v>1.78</v>
          </cell>
          <cell r="K1569" t="str">
            <v>Low</v>
          </cell>
          <cell r="AB1569">
            <v>0</v>
          </cell>
        </row>
        <row r="1570">
          <cell r="B1570" t="str">
            <v>Ganesh Babu</v>
          </cell>
          <cell r="I1570" t="str">
            <v>Correct</v>
          </cell>
          <cell r="J1570">
            <v>1.08</v>
          </cell>
          <cell r="K1570" t="str">
            <v>Low</v>
          </cell>
          <cell r="AB1570">
            <v>2</v>
          </cell>
        </row>
        <row r="1571">
          <cell r="B1571" t="str">
            <v>Ganesh Babu</v>
          </cell>
          <cell r="I1571" t="str">
            <v>Correct</v>
          </cell>
          <cell r="J1571">
            <v>1.97</v>
          </cell>
          <cell r="K1571" t="str">
            <v>Medium</v>
          </cell>
          <cell r="AB1571">
            <v>1.83</v>
          </cell>
        </row>
        <row r="1572">
          <cell r="B1572" t="str">
            <v>Ganesh Babu</v>
          </cell>
          <cell r="I1572" t="str">
            <v>Wrong</v>
          </cell>
          <cell r="J1572">
            <v>2.2200000000000002</v>
          </cell>
          <cell r="K1572" t="str">
            <v>Medium</v>
          </cell>
          <cell r="AB1572">
            <v>0</v>
          </cell>
        </row>
        <row r="1573">
          <cell r="B1573" t="str">
            <v>Ganesh Babu</v>
          </cell>
          <cell r="I1573" t="str">
            <v>Correct</v>
          </cell>
          <cell r="J1573">
            <v>1.32</v>
          </cell>
          <cell r="K1573" t="str">
            <v>Medium</v>
          </cell>
          <cell r="AB1573">
            <v>2</v>
          </cell>
        </row>
        <row r="1574">
          <cell r="B1574" t="str">
            <v>Ganesh Babu</v>
          </cell>
          <cell r="I1574" t="str">
            <v>Correct</v>
          </cell>
          <cell r="J1574">
            <v>2.1800000000000002</v>
          </cell>
          <cell r="K1574" t="str">
            <v>Medium</v>
          </cell>
          <cell r="AB1574">
            <v>1.65</v>
          </cell>
        </row>
        <row r="1575">
          <cell r="B1575" t="str">
            <v>Ganesh Babu</v>
          </cell>
          <cell r="I1575" t="str">
            <v>Correct</v>
          </cell>
          <cell r="J1575">
            <v>1.74</v>
          </cell>
          <cell r="K1575" t="str">
            <v>Medium</v>
          </cell>
          <cell r="AB1575">
            <v>2</v>
          </cell>
        </row>
        <row r="1576">
          <cell r="B1576" t="str">
            <v>Ganesh Babu</v>
          </cell>
          <cell r="I1576" t="str">
            <v>Wrong</v>
          </cell>
          <cell r="J1576">
            <v>2.0299999999999998</v>
          </cell>
          <cell r="K1576" t="str">
            <v>Medium</v>
          </cell>
          <cell r="AB1576">
            <v>0</v>
          </cell>
        </row>
        <row r="1577">
          <cell r="B1577" t="str">
            <v>Ganesh Babu</v>
          </cell>
          <cell r="I1577" t="str">
            <v>Wrong</v>
          </cell>
          <cell r="J1577">
            <v>2.42</v>
          </cell>
          <cell r="K1577" t="str">
            <v>High</v>
          </cell>
          <cell r="AB1577">
            <v>0</v>
          </cell>
        </row>
        <row r="1578">
          <cell r="B1578" t="str">
            <v>Ganesh Babu</v>
          </cell>
          <cell r="I1578" t="str">
            <v>Wrong</v>
          </cell>
          <cell r="J1578">
            <v>1.46</v>
          </cell>
          <cell r="K1578" t="str">
            <v>High</v>
          </cell>
          <cell r="AB1578">
            <v>0</v>
          </cell>
        </row>
        <row r="1579">
          <cell r="B1579" t="str">
            <v>Ganesh Babu</v>
          </cell>
          <cell r="I1579" t="str">
            <v>Wrong</v>
          </cell>
          <cell r="J1579">
            <v>1.44</v>
          </cell>
          <cell r="K1579" t="str">
            <v>High</v>
          </cell>
          <cell r="AB1579">
            <v>0</v>
          </cell>
        </row>
        <row r="1580">
          <cell r="B1580" t="str">
            <v>Ganesh Babu</v>
          </cell>
          <cell r="I1580" t="str">
            <v>Correct</v>
          </cell>
          <cell r="J1580">
            <v>2.11</v>
          </cell>
          <cell r="K1580" t="str">
            <v>High</v>
          </cell>
          <cell r="AB1580">
            <v>2.84</v>
          </cell>
        </row>
        <row r="1581">
          <cell r="B1581" t="str">
            <v>Ganesh Babu</v>
          </cell>
          <cell r="I1581" t="str">
            <v>Correct</v>
          </cell>
          <cell r="J1581">
            <v>2.42</v>
          </cell>
          <cell r="K1581" t="str">
            <v>High</v>
          </cell>
          <cell r="AB1581">
            <v>2.48</v>
          </cell>
        </row>
        <row r="1582">
          <cell r="B1582" t="str">
            <v>Hemalatha S</v>
          </cell>
          <cell r="I1582" t="str">
            <v>Correct</v>
          </cell>
          <cell r="J1582">
            <v>0.97</v>
          </cell>
          <cell r="K1582" t="str">
            <v>Low</v>
          </cell>
          <cell r="AB1582">
            <v>2</v>
          </cell>
        </row>
        <row r="1583">
          <cell r="B1583" t="str">
            <v>Hemalatha S</v>
          </cell>
          <cell r="I1583" t="str">
            <v>Correct</v>
          </cell>
          <cell r="J1583">
            <v>0.93</v>
          </cell>
          <cell r="K1583" t="str">
            <v>Low</v>
          </cell>
          <cell r="AB1583">
            <v>1</v>
          </cell>
        </row>
        <row r="1584">
          <cell r="B1584" t="str">
            <v>Hemalatha S</v>
          </cell>
          <cell r="I1584" t="str">
            <v>Correct</v>
          </cell>
          <cell r="J1584">
            <v>1.92</v>
          </cell>
          <cell r="K1584" t="str">
            <v>Low</v>
          </cell>
          <cell r="AB1584">
            <v>1.56</v>
          </cell>
        </row>
        <row r="1585">
          <cell r="B1585" t="str">
            <v>Hemalatha S</v>
          </cell>
          <cell r="I1585" t="str">
            <v>Correct</v>
          </cell>
          <cell r="J1585">
            <v>1.85</v>
          </cell>
          <cell r="K1585" t="str">
            <v>Low</v>
          </cell>
          <cell r="AB1585">
            <v>0.81</v>
          </cell>
        </row>
        <row r="1586">
          <cell r="B1586" t="str">
            <v>Hemalatha S</v>
          </cell>
          <cell r="I1586" t="str">
            <v>Correct</v>
          </cell>
          <cell r="J1586">
            <v>1.63</v>
          </cell>
          <cell r="K1586" t="str">
            <v>Low</v>
          </cell>
          <cell r="AB1586">
            <v>0.92</v>
          </cell>
        </row>
        <row r="1587">
          <cell r="B1587" t="str">
            <v>Hemalatha S</v>
          </cell>
          <cell r="I1587" t="str">
            <v>Correct</v>
          </cell>
          <cell r="J1587">
            <v>1.62</v>
          </cell>
          <cell r="K1587" t="str">
            <v>Low</v>
          </cell>
          <cell r="AB1587">
            <v>1.85</v>
          </cell>
        </row>
        <row r="1588">
          <cell r="B1588" t="str">
            <v>Hemalatha S</v>
          </cell>
          <cell r="I1588" t="str">
            <v>Correct</v>
          </cell>
          <cell r="J1588">
            <v>1.04</v>
          </cell>
          <cell r="K1588" t="str">
            <v>Low</v>
          </cell>
          <cell r="AB1588">
            <v>1</v>
          </cell>
        </row>
        <row r="1589">
          <cell r="B1589" t="str">
            <v>Hemalatha S</v>
          </cell>
          <cell r="I1589" t="str">
            <v>Wrong</v>
          </cell>
          <cell r="J1589">
            <v>1.88</v>
          </cell>
          <cell r="K1589" t="str">
            <v>Low</v>
          </cell>
          <cell r="AB1589">
            <v>0</v>
          </cell>
        </row>
        <row r="1590">
          <cell r="B1590" t="str">
            <v>Hemalatha S</v>
          </cell>
          <cell r="I1590" t="str">
            <v>Correct</v>
          </cell>
          <cell r="J1590">
            <v>1.22</v>
          </cell>
          <cell r="K1590" t="str">
            <v>Low</v>
          </cell>
          <cell r="AB1590">
            <v>2</v>
          </cell>
        </row>
        <row r="1591">
          <cell r="B1591" t="str">
            <v>Hemalatha S</v>
          </cell>
          <cell r="I1591" t="str">
            <v>Correct</v>
          </cell>
          <cell r="J1591">
            <v>2.14</v>
          </cell>
          <cell r="K1591" t="str">
            <v>Medium</v>
          </cell>
          <cell r="AB1591">
            <v>1.68</v>
          </cell>
        </row>
        <row r="1592">
          <cell r="B1592" t="str">
            <v>Hemalatha S</v>
          </cell>
          <cell r="I1592" t="str">
            <v>Correct</v>
          </cell>
          <cell r="J1592">
            <v>2.1</v>
          </cell>
          <cell r="K1592" t="str">
            <v>Medium</v>
          </cell>
          <cell r="AB1592">
            <v>1.71</v>
          </cell>
        </row>
        <row r="1593">
          <cell r="B1593" t="str">
            <v>Hemalatha S</v>
          </cell>
          <cell r="I1593" t="str">
            <v>Correct</v>
          </cell>
          <cell r="J1593">
            <v>1.72</v>
          </cell>
          <cell r="K1593" t="str">
            <v>Medium</v>
          </cell>
          <cell r="AB1593">
            <v>2</v>
          </cell>
        </row>
        <row r="1594">
          <cell r="B1594" t="str">
            <v>Hemalatha S</v>
          </cell>
          <cell r="I1594" t="str">
            <v>Correct</v>
          </cell>
          <cell r="J1594">
            <v>1.33</v>
          </cell>
          <cell r="K1594" t="str">
            <v>Medium</v>
          </cell>
          <cell r="AB1594">
            <v>2</v>
          </cell>
        </row>
        <row r="1595">
          <cell r="B1595" t="str">
            <v>Hemalatha S</v>
          </cell>
          <cell r="I1595" t="str">
            <v>Correct</v>
          </cell>
          <cell r="J1595">
            <v>1.53</v>
          </cell>
          <cell r="K1595" t="str">
            <v>Medium</v>
          </cell>
          <cell r="AB1595">
            <v>2</v>
          </cell>
        </row>
        <row r="1596">
          <cell r="B1596" t="str">
            <v>Hemalatha S</v>
          </cell>
          <cell r="I1596" t="str">
            <v>Wrong</v>
          </cell>
          <cell r="J1596">
            <v>1.47</v>
          </cell>
          <cell r="K1596" t="str">
            <v>Medium</v>
          </cell>
          <cell r="AB1596">
            <v>0</v>
          </cell>
        </row>
        <row r="1597">
          <cell r="B1597" t="str">
            <v>Hemalatha S</v>
          </cell>
          <cell r="I1597" t="str">
            <v>Correct</v>
          </cell>
          <cell r="J1597">
            <v>2.14</v>
          </cell>
          <cell r="K1597" t="str">
            <v>High</v>
          </cell>
          <cell r="AB1597">
            <v>2.81</v>
          </cell>
        </row>
        <row r="1598">
          <cell r="B1598" t="str">
            <v>Hemalatha S</v>
          </cell>
          <cell r="I1598" t="str">
            <v>Wrong</v>
          </cell>
          <cell r="J1598">
            <v>2.5499999999999998</v>
          </cell>
          <cell r="K1598" t="str">
            <v>High</v>
          </cell>
          <cell r="AB1598">
            <v>0</v>
          </cell>
        </row>
        <row r="1599">
          <cell r="B1599" t="str">
            <v>Hemalatha S</v>
          </cell>
          <cell r="I1599" t="str">
            <v>Correct</v>
          </cell>
          <cell r="J1599">
            <v>1.85</v>
          </cell>
          <cell r="K1599" t="str">
            <v>High</v>
          </cell>
          <cell r="AB1599">
            <v>3</v>
          </cell>
        </row>
        <row r="1600">
          <cell r="B1600" t="str">
            <v>Hemalatha S</v>
          </cell>
          <cell r="I1600" t="str">
            <v>Correct</v>
          </cell>
          <cell r="J1600">
            <v>1.69</v>
          </cell>
          <cell r="K1600" t="str">
            <v>High</v>
          </cell>
          <cell r="AB1600">
            <v>3</v>
          </cell>
        </row>
        <row r="1601">
          <cell r="B1601" t="str">
            <v>Hemalatha S</v>
          </cell>
          <cell r="I1601" t="str">
            <v>Correct</v>
          </cell>
          <cell r="J1601">
            <v>1.56</v>
          </cell>
          <cell r="K1601" t="str">
            <v>High</v>
          </cell>
          <cell r="AB1601">
            <v>3</v>
          </cell>
        </row>
        <row r="1602">
          <cell r="B1602" t="str">
            <v>Imran Ahmed</v>
          </cell>
          <cell r="I1602" t="str">
            <v>Wrong</v>
          </cell>
          <cell r="J1602">
            <v>0.96</v>
          </cell>
          <cell r="K1602" t="str">
            <v>Low</v>
          </cell>
          <cell r="AB1602">
            <v>0</v>
          </cell>
        </row>
        <row r="1603">
          <cell r="B1603" t="str">
            <v>Imran Ahmed</v>
          </cell>
          <cell r="I1603" t="str">
            <v>Correct</v>
          </cell>
          <cell r="J1603">
            <v>1.65</v>
          </cell>
          <cell r="K1603" t="str">
            <v>Low</v>
          </cell>
          <cell r="AB1603">
            <v>0.91</v>
          </cell>
        </row>
        <row r="1604">
          <cell r="B1604" t="str">
            <v>Imran Ahmed</v>
          </cell>
          <cell r="I1604" t="str">
            <v>Correct</v>
          </cell>
          <cell r="J1604">
            <v>1.72</v>
          </cell>
          <cell r="K1604" t="str">
            <v>Low</v>
          </cell>
          <cell r="AB1604">
            <v>1.74</v>
          </cell>
        </row>
        <row r="1605">
          <cell r="B1605" t="str">
            <v>Imran Ahmed</v>
          </cell>
          <cell r="I1605" t="str">
            <v>Correct</v>
          </cell>
          <cell r="J1605">
            <v>1.29</v>
          </cell>
          <cell r="K1605" t="str">
            <v>Low</v>
          </cell>
          <cell r="AB1605">
            <v>1</v>
          </cell>
        </row>
        <row r="1606">
          <cell r="B1606" t="str">
            <v>Imran Ahmed</v>
          </cell>
          <cell r="I1606" t="str">
            <v>Correct</v>
          </cell>
          <cell r="J1606">
            <v>1.33</v>
          </cell>
          <cell r="K1606" t="str">
            <v>Low</v>
          </cell>
          <cell r="AB1606">
            <v>1</v>
          </cell>
        </row>
        <row r="1607">
          <cell r="B1607" t="str">
            <v>Imran Ahmed</v>
          </cell>
          <cell r="I1607" t="str">
            <v>Correct</v>
          </cell>
          <cell r="J1607">
            <v>1.87</v>
          </cell>
          <cell r="K1607" t="str">
            <v>Low</v>
          </cell>
          <cell r="AB1607">
            <v>1.6</v>
          </cell>
        </row>
        <row r="1608">
          <cell r="B1608" t="str">
            <v>Imran Ahmed</v>
          </cell>
          <cell r="I1608" t="str">
            <v>Correct</v>
          </cell>
          <cell r="J1608">
            <v>1.87</v>
          </cell>
          <cell r="K1608" t="str">
            <v>Low</v>
          </cell>
          <cell r="AB1608">
            <v>0.8</v>
          </cell>
        </row>
        <row r="1609">
          <cell r="B1609" t="str">
            <v>Imran Ahmed</v>
          </cell>
          <cell r="I1609" t="str">
            <v>Correct</v>
          </cell>
          <cell r="J1609">
            <v>1.1100000000000001</v>
          </cell>
          <cell r="K1609" t="str">
            <v>Low</v>
          </cell>
          <cell r="AB1609">
            <v>2</v>
          </cell>
        </row>
        <row r="1610">
          <cell r="B1610" t="str">
            <v>Imran Ahmed</v>
          </cell>
          <cell r="I1610" t="str">
            <v>Correct</v>
          </cell>
          <cell r="J1610">
            <v>1.42</v>
          </cell>
          <cell r="K1610" t="str">
            <v>Low</v>
          </cell>
          <cell r="AB1610">
            <v>2</v>
          </cell>
        </row>
        <row r="1611">
          <cell r="B1611" t="str">
            <v>Imran Ahmed</v>
          </cell>
          <cell r="I1611" t="str">
            <v>Correct</v>
          </cell>
          <cell r="J1611">
            <v>2.27</v>
          </cell>
          <cell r="K1611" t="str">
            <v>Medium</v>
          </cell>
          <cell r="AB1611">
            <v>1.59</v>
          </cell>
        </row>
        <row r="1612">
          <cell r="B1612" t="str">
            <v>Imran Ahmed</v>
          </cell>
          <cell r="I1612" t="str">
            <v>Correct</v>
          </cell>
          <cell r="J1612">
            <v>2.11</v>
          </cell>
          <cell r="K1612" t="str">
            <v>Medium</v>
          </cell>
          <cell r="AB1612">
            <v>1.71</v>
          </cell>
        </row>
        <row r="1613">
          <cell r="B1613" t="str">
            <v>Imran Ahmed</v>
          </cell>
          <cell r="I1613" t="str">
            <v>Correct</v>
          </cell>
          <cell r="J1613">
            <v>1.75</v>
          </cell>
          <cell r="K1613" t="str">
            <v>Medium</v>
          </cell>
          <cell r="AB1613">
            <v>2</v>
          </cell>
        </row>
        <row r="1614">
          <cell r="B1614" t="str">
            <v>Imran Ahmed</v>
          </cell>
          <cell r="I1614" t="str">
            <v>Wrong</v>
          </cell>
          <cell r="J1614">
            <v>1.67</v>
          </cell>
          <cell r="K1614" t="str">
            <v>Medium</v>
          </cell>
          <cell r="AB1614">
            <v>0</v>
          </cell>
        </row>
        <row r="1615">
          <cell r="B1615" t="str">
            <v>Imran Ahmed</v>
          </cell>
          <cell r="I1615" t="str">
            <v>Correct</v>
          </cell>
          <cell r="J1615">
            <v>1.28</v>
          </cell>
          <cell r="K1615" t="str">
            <v>Medium</v>
          </cell>
          <cell r="AB1615">
            <v>2</v>
          </cell>
        </row>
        <row r="1616">
          <cell r="B1616" t="str">
            <v>Imran Ahmed</v>
          </cell>
          <cell r="I1616" t="str">
            <v>Wrong</v>
          </cell>
          <cell r="J1616">
            <v>1.89</v>
          </cell>
          <cell r="K1616" t="str">
            <v>Medium</v>
          </cell>
          <cell r="AB1616">
            <v>0</v>
          </cell>
        </row>
        <row r="1617">
          <cell r="B1617" t="str">
            <v>Imran Ahmed</v>
          </cell>
          <cell r="I1617" t="str">
            <v>Correct</v>
          </cell>
          <cell r="J1617">
            <v>1.41</v>
          </cell>
          <cell r="K1617" t="str">
            <v>High</v>
          </cell>
          <cell r="AB1617">
            <v>3</v>
          </cell>
        </row>
        <row r="1618">
          <cell r="B1618" t="str">
            <v>Imran Ahmed</v>
          </cell>
          <cell r="I1618" t="str">
            <v>Wrong</v>
          </cell>
          <cell r="J1618">
            <v>1.32</v>
          </cell>
          <cell r="K1618" t="str">
            <v>High</v>
          </cell>
          <cell r="AB1618">
            <v>0</v>
          </cell>
        </row>
        <row r="1619">
          <cell r="B1619" t="str">
            <v>Imran Ahmed</v>
          </cell>
          <cell r="I1619" t="str">
            <v>Wrong</v>
          </cell>
          <cell r="J1619">
            <v>2.2599999999999998</v>
          </cell>
          <cell r="K1619" t="str">
            <v>High</v>
          </cell>
          <cell r="AB1619">
            <v>0</v>
          </cell>
        </row>
        <row r="1620">
          <cell r="B1620" t="str">
            <v>Imran Ahmed</v>
          </cell>
          <cell r="I1620" t="str">
            <v>Correct</v>
          </cell>
          <cell r="J1620">
            <v>1.58</v>
          </cell>
          <cell r="K1620" t="str">
            <v>High</v>
          </cell>
          <cell r="AB1620">
            <v>3</v>
          </cell>
        </row>
        <row r="1621">
          <cell r="B1621" t="str">
            <v>Imran Ahmed</v>
          </cell>
          <cell r="I1621" t="str">
            <v>Wrong</v>
          </cell>
          <cell r="J1621">
            <v>2.35</v>
          </cell>
          <cell r="K1621" t="str">
            <v>High</v>
          </cell>
          <cell r="AB1621">
            <v>0</v>
          </cell>
        </row>
        <row r="1622">
          <cell r="B1622" t="str">
            <v>Jayasree K</v>
          </cell>
          <cell r="I1622" t="str">
            <v>Wrong</v>
          </cell>
          <cell r="J1622">
            <v>1.05</v>
          </cell>
          <cell r="K1622" t="str">
            <v>Low</v>
          </cell>
          <cell r="AB1622">
            <v>0</v>
          </cell>
        </row>
        <row r="1623">
          <cell r="B1623" t="str">
            <v>Jayasree K</v>
          </cell>
          <cell r="I1623" t="str">
            <v>Correct</v>
          </cell>
          <cell r="J1623">
            <v>0.94</v>
          </cell>
          <cell r="K1623" t="str">
            <v>Low</v>
          </cell>
          <cell r="AB1623">
            <v>1</v>
          </cell>
        </row>
        <row r="1624">
          <cell r="B1624" t="str">
            <v>Jayasree K</v>
          </cell>
          <cell r="I1624" t="str">
            <v>Correct</v>
          </cell>
          <cell r="J1624">
            <v>1.56</v>
          </cell>
          <cell r="K1624" t="str">
            <v>Low</v>
          </cell>
          <cell r="AB1624">
            <v>1.92</v>
          </cell>
        </row>
        <row r="1625">
          <cell r="B1625" t="str">
            <v>Jayasree K</v>
          </cell>
          <cell r="I1625" t="str">
            <v>Correct</v>
          </cell>
          <cell r="J1625">
            <v>1.97</v>
          </cell>
          <cell r="K1625" t="str">
            <v>Low</v>
          </cell>
          <cell r="AB1625">
            <v>0.76</v>
          </cell>
        </row>
        <row r="1626">
          <cell r="B1626" t="str">
            <v>Jayasree K</v>
          </cell>
          <cell r="I1626" t="str">
            <v>Wrong</v>
          </cell>
          <cell r="J1626">
            <v>1.59</v>
          </cell>
          <cell r="K1626" t="str">
            <v>Low</v>
          </cell>
          <cell r="AB1626">
            <v>0</v>
          </cell>
        </row>
        <row r="1627">
          <cell r="B1627" t="str">
            <v>Jayasree K</v>
          </cell>
          <cell r="I1627" t="str">
            <v>Correct</v>
          </cell>
          <cell r="J1627">
            <v>1.88</v>
          </cell>
          <cell r="K1627" t="str">
            <v>Low</v>
          </cell>
          <cell r="AB1627">
            <v>1.6</v>
          </cell>
        </row>
        <row r="1628">
          <cell r="B1628" t="str">
            <v>Jayasree K</v>
          </cell>
          <cell r="I1628" t="str">
            <v>Correct</v>
          </cell>
          <cell r="J1628">
            <v>1.67</v>
          </cell>
          <cell r="K1628" t="str">
            <v>Low</v>
          </cell>
          <cell r="AB1628">
            <v>0.9</v>
          </cell>
        </row>
        <row r="1629">
          <cell r="B1629" t="str">
            <v>Jayasree K</v>
          </cell>
          <cell r="I1629" t="str">
            <v>Wrong</v>
          </cell>
          <cell r="J1629">
            <v>1.45</v>
          </cell>
          <cell r="K1629" t="str">
            <v>Low</v>
          </cell>
          <cell r="AB1629">
            <v>0</v>
          </cell>
        </row>
        <row r="1630">
          <cell r="B1630" t="str">
            <v>Jayasree K</v>
          </cell>
          <cell r="I1630" t="str">
            <v>Correct</v>
          </cell>
          <cell r="J1630">
            <v>1.01</v>
          </cell>
          <cell r="K1630" t="str">
            <v>Low</v>
          </cell>
          <cell r="AB1630">
            <v>2</v>
          </cell>
        </row>
        <row r="1631">
          <cell r="B1631" t="str">
            <v>Jayasree K</v>
          </cell>
          <cell r="I1631" t="str">
            <v>Wrong</v>
          </cell>
          <cell r="J1631">
            <v>1.79</v>
          </cell>
          <cell r="K1631" t="str">
            <v>Medium</v>
          </cell>
          <cell r="AB1631">
            <v>0</v>
          </cell>
        </row>
        <row r="1632">
          <cell r="B1632" t="str">
            <v>Jayasree K</v>
          </cell>
          <cell r="I1632" t="str">
            <v>Correct</v>
          </cell>
          <cell r="J1632">
            <v>2.23</v>
          </cell>
          <cell r="K1632" t="str">
            <v>Medium</v>
          </cell>
          <cell r="AB1632">
            <v>1.61</v>
          </cell>
        </row>
        <row r="1633">
          <cell r="B1633" t="str">
            <v>Jayasree K</v>
          </cell>
          <cell r="I1633" t="str">
            <v>Wrong</v>
          </cell>
          <cell r="J1633">
            <v>1.48</v>
          </cell>
          <cell r="K1633" t="str">
            <v>Medium</v>
          </cell>
          <cell r="AB1633">
            <v>0</v>
          </cell>
        </row>
        <row r="1634">
          <cell r="B1634" t="str">
            <v>Jayasree K</v>
          </cell>
          <cell r="I1634" t="str">
            <v>Correct</v>
          </cell>
          <cell r="J1634">
            <v>1.1299999999999999</v>
          </cell>
          <cell r="K1634" t="str">
            <v>Medium</v>
          </cell>
          <cell r="AB1634">
            <v>2</v>
          </cell>
        </row>
        <row r="1635">
          <cell r="B1635" t="str">
            <v>Jayasree K</v>
          </cell>
          <cell r="I1635" t="str">
            <v>Correct</v>
          </cell>
          <cell r="J1635">
            <v>1.87</v>
          </cell>
          <cell r="K1635" t="str">
            <v>Medium</v>
          </cell>
          <cell r="AB1635">
            <v>1.93</v>
          </cell>
        </row>
        <row r="1636">
          <cell r="B1636" t="str">
            <v>Jayasree K</v>
          </cell>
          <cell r="I1636" t="str">
            <v>Correct</v>
          </cell>
          <cell r="J1636">
            <v>2.15</v>
          </cell>
          <cell r="K1636" t="str">
            <v>Medium</v>
          </cell>
          <cell r="AB1636">
            <v>1.67</v>
          </cell>
        </row>
        <row r="1637">
          <cell r="B1637" t="str">
            <v>Jayasree K</v>
          </cell>
          <cell r="I1637" t="str">
            <v>Wrong</v>
          </cell>
          <cell r="J1637">
            <v>1.9</v>
          </cell>
          <cell r="K1637" t="str">
            <v>High</v>
          </cell>
          <cell r="AB1637">
            <v>0</v>
          </cell>
        </row>
        <row r="1638">
          <cell r="B1638" t="str">
            <v>Jayasree K</v>
          </cell>
          <cell r="I1638" t="str">
            <v>Wrong</v>
          </cell>
          <cell r="J1638">
            <v>1.63</v>
          </cell>
          <cell r="K1638" t="str">
            <v>High</v>
          </cell>
          <cell r="AB1638">
            <v>0</v>
          </cell>
        </row>
        <row r="1639">
          <cell r="B1639" t="str">
            <v>Jayasree K</v>
          </cell>
          <cell r="I1639" t="str">
            <v>Wrong</v>
          </cell>
          <cell r="J1639">
            <v>1.84</v>
          </cell>
          <cell r="K1639" t="str">
            <v>High</v>
          </cell>
          <cell r="AB1639">
            <v>0</v>
          </cell>
        </row>
        <row r="1640">
          <cell r="B1640" t="str">
            <v>Jayasree K</v>
          </cell>
          <cell r="I1640" t="str">
            <v>Wrong</v>
          </cell>
          <cell r="J1640">
            <v>2.57</v>
          </cell>
          <cell r="K1640" t="str">
            <v>High</v>
          </cell>
          <cell r="AB1640">
            <v>0</v>
          </cell>
        </row>
        <row r="1641">
          <cell r="B1641" t="str">
            <v>Jayasree K</v>
          </cell>
          <cell r="I1641" t="str">
            <v>Correct</v>
          </cell>
          <cell r="J1641">
            <v>2.14</v>
          </cell>
          <cell r="K1641" t="str">
            <v>High</v>
          </cell>
          <cell r="AB1641">
            <v>2.81</v>
          </cell>
        </row>
        <row r="1642">
          <cell r="B1642" t="str">
            <v>Kowsalya M</v>
          </cell>
          <cell r="I1642" t="str">
            <v>Correct</v>
          </cell>
          <cell r="J1642">
            <v>1.5</v>
          </cell>
          <cell r="K1642" t="str">
            <v>Low</v>
          </cell>
          <cell r="AB1642">
            <v>2</v>
          </cell>
        </row>
        <row r="1643">
          <cell r="B1643" t="str">
            <v>Kowsalya M</v>
          </cell>
          <cell r="I1643" t="str">
            <v>Correct</v>
          </cell>
          <cell r="J1643">
            <v>1.87</v>
          </cell>
          <cell r="K1643" t="str">
            <v>Low</v>
          </cell>
          <cell r="AB1643">
            <v>0.8</v>
          </cell>
        </row>
        <row r="1644">
          <cell r="B1644" t="str">
            <v>Kowsalya M</v>
          </cell>
          <cell r="I1644" t="str">
            <v>Wrong</v>
          </cell>
          <cell r="J1644">
            <v>1.78</v>
          </cell>
          <cell r="K1644" t="str">
            <v>Low</v>
          </cell>
          <cell r="AB1644">
            <v>0</v>
          </cell>
        </row>
        <row r="1645">
          <cell r="B1645" t="str">
            <v>Kowsalya M</v>
          </cell>
          <cell r="I1645" t="str">
            <v>Correct</v>
          </cell>
          <cell r="J1645">
            <v>1.97</v>
          </cell>
          <cell r="K1645" t="str">
            <v>Low</v>
          </cell>
          <cell r="AB1645">
            <v>0.76</v>
          </cell>
        </row>
        <row r="1646">
          <cell r="B1646" t="str">
            <v>Kowsalya M</v>
          </cell>
          <cell r="I1646" t="str">
            <v>Correct</v>
          </cell>
          <cell r="J1646">
            <v>1.59</v>
          </cell>
          <cell r="K1646" t="str">
            <v>Low</v>
          </cell>
          <cell r="AB1646">
            <v>0.94</v>
          </cell>
        </row>
        <row r="1647">
          <cell r="B1647" t="str">
            <v>Kowsalya M</v>
          </cell>
          <cell r="I1647" t="str">
            <v>Correct</v>
          </cell>
          <cell r="J1647">
            <v>1.54</v>
          </cell>
          <cell r="K1647" t="str">
            <v>Low</v>
          </cell>
          <cell r="AB1647">
            <v>1.95</v>
          </cell>
        </row>
        <row r="1648">
          <cell r="B1648" t="str">
            <v>Kowsalya M</v>
          </cell>
          <cell r="I1648" t="str">
            <v>Correct</v>
          </cell>
          <cell r="J1648">
            <v>1.9</v>
          </cell>
          <cell r="K1648" t="str">
            <v>Low</v>
          </cell>
          <cell r="AB1648">
            <v>0.79</v>
          </cell>
        </row>
        <row r="1649">
          <cell r="B1649" t="str">
            <v>Kowsalya M</v>
          </cell>
          <cell r="I1649" t="str">
            <v>Correct</v>
          </cell>
          <cell r="J1649">
            <v>1.22</v>
          </cell>
          <cell r="K1649" t="str">
            <v>Low</v>
          </cell>
          <cell r="AB1649">
            <v>2</v>
          </cell>
        </row>
        <row r="1650">
          <cell r="B1650" t="str">
            <v>Kowsalya M</v>
          </cell>
          <cell r="I1650" t="str">
            <v>Correct</v>
          </cell>
          <cell r="J1650">
            <v>1.88</v>
          </cell>
          <cell r="K1650" t="str">
            <v>Low</v>
          </cell>
          <cell r="AB1650">
            <v>1.6</v>
          </cell>
        </row>
        <row r="1651">
          <cell r="B1651" t="str">
            <v>Kowsalya M</v>
          </cell>
          <cell r="I1651" t="str">
            <v>Correct</v>
          </cell>
          <cell r="J1651">
            <v>1.69</v>
          </cell>
          <cell r="K1651" t="str">
            <v>Medium</v>
          </cell>
          <cell r="AB1651">
            <v>2</v>
          </cell>
        </row>
        <row r="1652">
          <cell r="B1652" t="str">
            <v>Kowsalya M</v>
          </cell>
          <cell r="I1652" t="str">
            <v>Correct</v>
          </cell>
          <cell r="J1652">
            <v>1.17</v>
          </cell>
          <cell r="K1652" t="str">
            <v>Medium</v>
          </cell>
          <cell r="AB1652">
            <v>2</v>
          </cell>
        </row>
        <row r="1653">
          <cell r="B1653" t="str">
            <v>Kowsalya M</v>
          </cell>
          <cell r="I1653" t="str">
            <v>Wrong</v>
          </cell>
          <cell r="J1653">
            <v>2.23</v>
          </cell>
          <cell r="K1653" t="str">
            <v>Medium</v>
          </cell>
          <cell r="AB1653">
            <v>0</v>
          </cell>
        </row>
        <row r="1654">
          <cell r="B1654" t="str">
            <v>Kowsalya M</v>
          </cell>
          <cell r="I1654" t="str">
            <v>Correct</v>
          </cell>
          <cell r="J1654">
            <v>1.62</v>
          </cell>
          <cell r="K1654" t="str">
            <v>Medium</v>
          </cell>
          <cell r="AB1654">
            <v>2</v>
          </cell>
        </row>
        <row r="1655">
          <cell r="B1655" t="str">
            <v>Kowsalya M</v>
          </cell>
          <cell r="I1655" t="str">
            <v>Correct</v>
          </cell>
          <cell r="J1655">
            <v>1.46</v>
          </cell>
          <cell r="K1655" t="str">
            <v>Medium</v>
          </cell>
          <cell r="AB1655">
            <v>2</v>
          </cell>
        </row>
        <row r="1656">
          <cell r="B1656" t="str">
            <v>Kowsalya M</v>
          </cell>
          <cell r="I1656" t="str">
            <v>Wrong</v>
          </cell>
          <cell r="J1656">
            <v>1.26</v>
          </cell>
          <cell r="K1656" t="str">
            <v>Medium</v>
          </cell>
          <cell r="AB1656">
            <v>0</v>
          </cell>
        </row>
        <row r="1657">
          <cell r="B1657" t="str">
            <v>Kowsalya M</v>
          </cell>
          <cell r="I1657" t="str">
            <v>Correct</v>
          </cell>
          <cell r="J1657">
            <v>1.67</v>
          </cell>
          <cell r="K1657" t="str">
            <v>High</v>
          </cell>
          <cell r="AB1657">
            <v>3</v>
          </cell>
        </row>
        <row r="1658">
          <cell r="B1658" t="str">
            <v>Kowsalya M</v>
          </cell>
          <cell r="I1658" t="str">
            <v>Wrong</v>
          </cell>
          <cell r="J1658">
            <v>1.72</v>
          </cell>
          <cell r="K1658" t="str">
            <v>High</v>
          </cell>
          <cell r="AB1658">
            <v>0</v>
          </cell>
        </row>
        <row r="1659">
          <cell r="B1659" t="str">
            <v>Kowsalya M</v>
          </cell>
          <cell r="I1659" t="str">
            <v>Wrong</v>
          </cell>
          <cell r="J1659">
            <v>2.5299999999999998</v>
          </cell>
          <cell r="K1659" t="str">
            <v>High</v>
          </cell>
          <cell r="AB1659">
            <v>0</v>
          </cell>
        </row>
        <row r="1660">
          <cell r="B1660" t="str">
            <v>Kowsalya M</v>
          </cell>
          <cell r="I1660" t="str">
            <v>Wrong</v>
          </cell>
          <cell r="J1660">
            <v>1.59</v>
          </cell>
          <cell r="K1660" t="str">
            <v>High</v>
          </cell>
          <cell r="AB1660">
            <v>0</v>
          </cell>
        </row>
        <row r="1661">
          <cell r="B1661" t="str">
            <v>Kowsalya M</v>
          </cell>
          <cell r="I1661" t="str">
            <v>Wrong</v>
          </cell>
          <cell r="J1661">
            <v>2.04</v>
          </cell>
          <cell r="K1661" t="str">
            <v>High</v>
          </cell>
          <cell r="AB1661">
            <v>0</v>
          </cell>
        </row>
        <row r="1662">
          <cell r="B1662" t="str">
            <v>Mohan Raj</v>
          </cell>
          <cell r="I1662" t="str">
            <v>Wrong</v>
          </cell>
          <cell r="J1662">
            <v>1.56</v>
          </cell>
          <cell r="K1662" t="str">
            <v>Low</v>
          </cell>
          <cell r="AB1662">
            <v>0</v>
          </cell>
        </row>
        <row r="1663">
          <cell r="B1663" t="str">
            <v>Mohan Raj</v>
          </cell>
          <cell r="I1663" t="str">
            <v>Correct</v>
          </cell>
          <cell r="J1663">
            <v>1.28</v>
          </cell>
          <cell r="K1663" t="str">
            <v>Low</v>
          </cell>
          <cell r="AB1663">
            <v>1</v>
          </cell>
        </row>
        <row r="1664">
          <cell r="B1664" t="str">
            <v>Mohan Raj</v>
          </cell>
          <cell r="I1664" t="str">
            <v>Correct</v>
          </cell>
          <cell r="J1664">
            <v>1.63</v>
          </cell>
          <cell r="K1664" t="str">
            <v>Low</v>
          </cell>
          <cell r="AB1664">
            <v>1.84</v>
          </cell>
        </row>
        <row r="1665">
          <cell r="B1665" t="str">
            <v>Mohan Raj</v>
          </cell>
          <cell r="I1665" t="str">
            <v>Correct</v>
          </cell>
          <cell r="J1665">
            <v>1.49</v>
          </cell>
          <cell r="K1665" t="str">
            <v>Low</v>
          </cell>
          <cell r="AB1665">
            <v>1</v>
          </cell>
        </row>
        <row r="1666">
          <cell r="B1666" t="str">
            <v>Mohan Raj</v>
          </cell>
          <cell r="I1666" t="str">
            <v>Correct</v>
          </cell>
          <cell r="J1666">
            <v>1.1499999999999999</v>
          </cell>
          <cell r="K1666" t="str">
            <v>Low</v>
          </cell>
          <cell r="AB1666">
            <v>1</v>
          </cell>
        </row>
        <row r="1667">
          <cell r="B1667" t="str">
            <v>Mohan Raj</v>
          </cell>
          <cell r="I1667" t="str">
            <v>Wrong</v>
          </cell>
          <cell r="J1667">
            <v>1.48</v>
          </cell>
          <cell r="K1667" t="str">
            <v>Low</v>
          </cell>
          <cell r="AB1667">
            <v>0</v>
          </cell>
        </row>
        <row r="1668">
          <cell r="B1668" t="str">
            <v>Mohan Raj</v>
          </cell>
          <cell r="I1668" t="str">
            <v>Correct</v>
          </cell>
          <cell r="J1668">
            <v>1.42</v>
          </cell>
          <cell r="K1668" t="str">
            <v>Low</v>
          </cell>
          <cell r="AB1668">
            <v>1</v>
          </cell>
        </row>
        <row r="1669">
          <cell r="B1669" t="str">
            <v>Mohan Raj</v>
          </cell>
          <cell r="I1669" t="str">
            <v>Correct</v>
          </cell>
          <cell r="J1669">
            <v>1.79</v>
          </cell>
          <cell r="K1669" t="str">
            <v>Low</v>
          </cell>
          <cell r="AB1669">
            <v>1.68</v>
          </cell>
        </row>
        <row r="1670">
          <cell r="B1670" t="str">
            <v>Mohan Raj</v>
          </cell>
          <cell r="I1670" t="str">
            <v>Correct</v>
          </cell>
          <cell r="J1670">
            <v>1.91</v>
          </cell>
          <cell r="K1670" t="str">
            <v>Low</v>
          </cell>
          <cell r="AB1670">
            <v>1.57</v>
          </cell>
        </row>
        <row r="1671">
          <cell r="B1671" t="str">
            <v>Mohan Raj</v>
          </cell>
          <cell r="I1671" t="str">
            <v>Wrong</v>
          </cell>
          <cell r="J1671">
            <v>1.65</v>
          </cell>
          <cell r="K1671" t="str">
            <v>Medium</v>
          </cell>
          <cell r="AB1671">
            <v>0</v>
          </cell>
        </row>
        <row r="1672">
          <cell r="B1672" t="str">
            <v>Mohan Raj</v>
          </cell>
          <cell r="I1672" t="str">
            <v>Wrong</v>
          </cell>
          <cell r="J1672">
            <v>1.95</v>
          </cell>
          <cell r="K1672" t="str">
            <v>Medium</v>
          </cell>
          <cell r="AB1672">
            <v>0</v>
          </cell>
        </row>
        <row r="1673">
          <cell r="B1673" t="str">
            <v>Mohan Raj</v>
          </cell>
          <cell r="I1673" t="str">
            <v>Correct</v>
          </cell>
          <cell r="J1673">
            <v>1.33</v>
          </cell>
          <cell r="K1673" t="str">
            <v>Medium</v>
          </cell>
          <cell r="AB1673">
            <v>2</v>
          </cell>
        </row>
        <row r="1674">
          <cell r="B1674" t="str">
            <v>Mohan Raj</v>
          </cell>
          <cell r="I1674" t="str">
            <v>Correct</v>
          </cell>
          <cell r="J1674">
            <v>1.95</v>
          </cell>
          <cell r="K1674" t="str">
            <v>Medium</v>
          </cell>
          <cell r="AB1674">
            <v>1.85</v>
          </cell>
        </row>
        <row r="1675">
          <cell r="B1675" t="str">
            <v>Mohan Raj</v>
          </cell>
          <cell r="I1675" t="str">
            <v>Correct</v>
          </cell>
          <cell r="J1675">
            <v>1.54</v>
          </cell>
          <cell r="K1675" t="str">
            <v>Medium</v>
          </cell>
          <cell r="AB1675">
            <v>2</v>
          </cell>
        </row>
        <row r="1676">
          <cell r="B1676" t="str">
            <v>Mohan Raj</v>
          </cell>
          <cell r="I1676" t="str">
            <v>Correct</v>
          </cell>
          <cell r="J1676">
            <v>2.16</v>
          </cell>
          <cell r="K1676" t="str">
            <v>Medium</v>
          </cell>
          <cell r="AB1676">
            <v>1.67</v>
          </cell>
        </row>
        <row r="1677">
          <cell r="B1677" t="str">
            <v>Mohan Raj</v>
          </cell>
          <cell r="I1677" t="str">
            <v>Wrong</v>
          </cell>
          <cell r="J1677">
            <v>1.51</v>
          </cell>
          <cell r="K1677" t="str">
            <v>High</v>
          </cell>
          <cell r="AB1677">
            <v>0</v>
          </cell>
        </row>
        <row r="1678">
          <cell r="B1678" t="str">
            <v>Mohan Raj</v>
          </cell>
          <cell r="I1678" t="str">
            <v>Wrong</v>
          </cell>
          <cell r="J1678">
            <v>2.19</v>
          </cell>
          <cell r="K1678" t="str">
            <v>High</v>
          </cell>
          <cell r="AB1678">
            <v>0</v>
          </cell>
        </row>
        <row r="1679">
          <cell r="B1679" t="str">
            <v>Mohan Raj</v>
          </cell>
          <cell r="I1679" t="str">
            <v>Wrong</v>
          </cell>
          <cell r="J1679">
            <v>1.66</v>
          </cell>
          <cell r="K1679" t="str">
            <v>High</v>
          </cell>
          <cell r="AB1679">
            <v>0</v>
          </cell>
        </row>
        <row r="1680">
          <cell r="B1680" t="str">
            <v>Mohan Raj</v>
          </cell>
          <cell r="I1680" t="str">
            <v>Correct</v>
          </cell>
          <cell r="J1680">
            <v>2.39</v>
          </cell>
          <cell r="K1680" t="str">
            <v>High</v>
          </cell>
          <cell r="AB1680">
            <v>2.5099999999999998</v>
          </cell>
        </row>
        <row r="1681">
          <cell r="B1681" t="str">
            <v>Mohan Raj</v>
          </cell>
          <cell r="I1681" t="str">
            <v>Wrong</v>
          </cell>
          <cell r="J1681">
            <v>1.45</v>
          </cell>
          <cell r="K1681" t="str">
            <v>High</v>
          </cell>
          <cell r="AB1681">
            <v>0</v>
          </cell>
        </row>
        <row r="1682">
          <cell r="B1682" t="str">
            <v>Nirmala Devi</v>
          </cell>
          <cell r="I1682" t="str">
            <v>Correct</v>
          </cell>
          <cell r="J1682">
            <v>1.83</v>
          </cell>
          <cell r="K1682" t="str">
            <v>Low</v>
          </cell>
          <cell r="AB1682">
            <v>1.64</v>
          </cell>
        </row>
        <row r="1683">
          <cell r="B1683" t="str">
            <v>Nirmala Devi</v>
          </cell>
          <cell r="I1683" t="str">
            <v>Correct</v>
          </cell>
          <cell r="J1683">
            <v>1.55</v>
          </cell>
          <cell r="K1683" t="str">
            <v>Low</v>
          </cell>
          <cell r="AB1683">
            <v>0.97</v>
          </cell>
        </row>
        <row r="1684">
          <cell r="B1684" t="str">
            <v>Nirmala Devi</v>
          </cell>
          <cell r="I1684" t="str">
            <v>Wrong</v>
          </cell>
          <cell r="J1684">
            <v>1.69</v>
          </cell>
          <cell r="K1684" t="str">
            <v>Low</v>
          </cell>
          <cell r="AB1684">
            <v>0</v>
          </cell>
        </row>
        <row r="1685">
          <cell r="B1685" t="str">
            <v>Nirmala Devi</v>
          </cell>
          <cell r="I1685" t="str">
            <v>Correct</v>
          </cell>
          <cell r="J1685">
            <v>2</v>
          </cell>
          <cell r="K1685" t="str">
            <v>Low</v>
          </cell>
          <cell r="AB1685">
            <v>0.75</v>
          </cell>
        </row>
        <row r="1686">
          <cell r="B1686" t="str">
            <v>Nirmala Devi</v>
          </cell>
          <cell r="I1686" t="str">
            <v>Correct</v>
          </cell>
          <cell r="J1686">
            <v>1.25</v>
          </cell>
          <cell r="K1686" t="str">
            <v>Low</v>
          </cell>
          <cell r="AB1686">
            <v>1</v>
          </cell>
        </row>
        <row r="1687">
          <cell r="B1687" t="str">
            <v>Nirmala Devi</v>
          </cell>
          <cell r="I1687" t="str">
            <v>Correct</v>
          </cell>
          <cell r="J1687">
            <v>1.39</v>
          </cell>
          <cell r="K1687" t="str">
            <v>Low</v>
          </cell>
          <cell r="AB1687">
            <v>2</v>
          </cell>
        </row>
        <row r="1688">
          <cell r="B1688" t="str">
            <v>Nirmala Devi</v>
          </cell>
          <cell r="I1688" t="str">
            <v>Correct</v>
          </cell>
          <cell r="J1688">
            <v>1.32</v>
          </cell>
          <cell r="K1688" t="str">
            <v>Low</v>
          </cell>
          <cell r="AB1688">
            <v>1</v>
          </cell>
        </row>
        <row r="1689">
          <cell r="B1689" t="str">
            <v>Nirmala Devi</v>
          </cell>
          <cell r="I1689" t="str">
            <v>Correct</v>
          </cell>
          <cell r="J1689">
            <v>1.39</v>
          </cell>
          <cell r="K1689" t="str">
            <v>Low</v>
          </cell>
          <cell r="AB1689">
            <v>2</v>
          </cell>
        </row>
        <row r="1690">
          <cell r="B1690" t="str">
            <v>Nirmala Devi</v>
          </cell>
          <cell r="I1690" t="str">
            <v>Correct</v>
          </cell>
          <cell r="J1690">
            <v>1.3</v>
          </cell>
          <cell r="K1690" t="str">
            <v>Low</v>
          </cell>
          <cell r="AB1690">
            <v>2</v>
          </cell>
        </row>
        <row r="1691">
          <cell r="B1691" t="str">
            <v>Nirmala Devi</v>
          </cell>
          <cell r="I1691" t="str">
            <v>Wrong</v>
          </cell>
          <cell r="J1691">
            <v>1.5</v>
          </cell>
          <cell r="K1691" t="str">
            <v>Medium</v>
          </cell>
          <cell r="AB1691">
            <v>0</v>
          </cell>
        </row>
        <row r="1692">
          <cell r="B1692" t="str">
            <v>Nirmala Devi</v>
          </cell>
          <cell r="I1692" t="str">
            <v>Correct</v>
          </cell>
          <cell r="J1692">
            <v>1.86</v>
          </cell>
          <cell r="K1692" t="str">
            <v>Medium</v>
          </cell>
          <cell r="AB1692">
            <v>1.94</v>
          </cell>
        </row>
        <row r="1693">
          <cell r="B1693" t="str">
            <v>Nirmala Devi</v>
          </cell>
          <cell r="I1693" t="str">
            <v>Correct</v>
          </cell>
          <cell r="J1693">
            <v>1.1299999999999999</v>
          </cell>
          <cell r="K1693" t="str">
            <v>Medium</v>
          </cell>
          <cell r="AB1693">
            <v>2</v>
          </cell>
        </row>
        <row r="1694">
          <cell r="B1694" t="str">
            <v>Nirmala Devi</v>
          </cell>
          <cell r="I1694" t="str">
            <v>Correct</v>
          </cell>
          <cell r="J1694">
            <v>1.2</v>
          </cell>
          <cell r="K1694" t="str">
            <v>Medium</v>
          </cell>
          <cell r="AB1694">
            <v>2</v>
          </cell>
        </row>
        <row r="1695">
          <cell r="B1695" t="str">
            <v>Nirmala Devi</v>
          </cell>
          <cell r="I1695" t="str">
            <v>Correct</v>
          </cell>
          <cell r="J1695">
            <v>1.52</v>
          </cell>
          <cell r="K1695" t="str">
            <v>Medium</v>
          </cell>
          <cell r="AB1695">
            <v>2</v>
          </cell>
        </row>
        <row r="1696">
          <cell r="B1696" t="str">
            <v>Nirmala Devi</v>
          </cell>
          <cell r="I1696" t="str">
            <v>Correct</v>
          </cell>
          <cell r="J1696">
            <v>1.8</v>
          </cell>
          <cell r="K1696" t="str">
            <v>Medium</v>
          </cell>
          <cell r="AB1696">
            <v>2</v>
          </cell>
        </row>
        <row r="1697">
          <cell r="B1697" t="str">
            <v>Nirmala Devi</v>
          </cell>
          <cell r="I1697" t="str">
            <v>Correct</v>
          </cell>
          <cell r="J1697">
            <v>1.73</v>
          </cell>
          <cell r="K1697" t="str">
            <v>High</v>
          </cell>
          <cell r="AB1697">
            <v>3</v>
          </cell>
        </row>
        <row r="1698">
          <cell r="B1698" t="str">
            <v>Nirmala Devi</v>
          </cell>
          <cell r="I1698" t="str">
            <v>Correct</v>
          </cell>
          <cell r="J1698">
            <v>2.23</v>
          </cell>
          <cell r="K1698" t="str">
            <v>High</v>
          </cell>
          <cell r="AB1698">
            <v>2.69</v>
          </cell>
        </row>
        <row r="1699">
          <cell r="B1699" t="str">
            <v>Nirmala Devi</v>
          </cell>
          <cell r="I1699" t="str">
            <v>Correct</v>
          </cell>
          <cell r="J1699">
            <v>1.98</v>
          </cell>
          <cell r="K1699" t="str">
            <v>High</v>
          </cell>
          <cell r="AB1699">
            <v>3</v>
          </cell>
        </row>
        <row r="1700">
          <cell r="B1700" t="str">
            <v>Nirmala Devi</v>
          </cell>
          <cell r="I1700" t="str">
            <v>Wrong</v>
          </cell>
          <cell r="J1700">
            <v>2.2200000000000002</v>
          </cell>
          <cell r="K1700" t="str">
            <v>High</v>
          </cell>
          <cell r="AB1700">
            <v>0</v>
          </cell>
        </row>
        <row r="1701">
          <cell r="B1701" t="str">
            <v>Nirmala Devi</v>
          </cell>
          <cell r="I1701" t="str">
            <v>Wrong</v>
          </cell>
          <cell r="J1701">
            <v>1.32</v>
          </cell>
          <cell r="K1701" t="str">
            <v>High</v>
          </cell>
          <cell r="AB1701">
            <v>0</v>
          </cell>
        </row>
        <row r="1702">
          <cell r="B1702" t="str">
            <v>Pradeep Kumar</v>
          </cell>
          <cell r="I1702" t="str">
            <v>Correct</v>
          </cell>
          <cell r="J1702">
            <v>0.99</v>
          </cell>
          <cell r="K1702" t="str">
            <v>Low</v>
          </cell>
          <cell r="AB1702">
            <v>2</v>
          </cell>
        </row>
        <row r="1703">
          <cell r="B1703" t="str">
            <v>Pradeep Kumar</v>
          </cell>
          <cell r="I1703" t="str">
            <v>Correct</v>
          </cell>
          <cell r="J1703">
            <v>1.1000000000000001</v>
          </cell>
          <cell r="K1703" t="str">
            <v>Low</v>
          </cell>
          <cell r="AB1703">
            <v>1</v>
          </cell>
        </row>
        <row r="1704">
          <cell r="B1704" t="str">
            <v>Pradeep Kumar</v>
          </cell>
          <cell r="I1704" t="str">
            <v>Correct</v>
          </cell>
          <cell r="J1704">
            <v>1.4</v>
          </cell>
          <cell r="K1704" t="str">
            <v>Low</v>
          </cell>
          <cell r="AB1704">
            <v>2</v>
          </cell>
        </row>
        <row r="1705">
          <cell r="B1705" t="str">
            <v>Pradeep Kumar</v>
          </cell>
          <cell r="I1705" t="str">
            <v>Correct</v>
          </cell>
          <cell r="J1705">
            <v>1.07</v>
          </cell>
          <cell r="K1705" t="str">
            <v>Low</v>
          </cell>
          <cell r="AB1705">
            <v>1</v>
          </cell>
        </row>
        <row r="1706">
          <cell r="B1706" t="str">
            <v>Pradeep Kumar</v>
          </cell>
          <cell r="I1706" t="str">
            <v>Correct</v>
          </cell>
          <cell r="J1706">
            <v>1.1100000000000001</v>
          </cell>
          <cell r="K1706" t="str">
            <v>Low</v>
          </cell>
          <cell r="AB1706">
            <v>1</v>
          </cell>
        </row>
        <row r="1707">
          <cell r="B1707" t="str">
            <v>Pradeep Kumar</v>
          </cell>
          <cell r="I1707" t="str">
            <v>Wrong</v>
          </cell>
          <cell r="J1707">
            <v>1.17</v>
          </cell>
          <cell r="K1707" t="str">
            <v>Low</v>
          </cell>
          <cell r="AB1707">
            <v>0</v>
          </cell>
        </row>
        <row r="1708">
          <cell r="B1708" t="str">
            <v>Pradeep Kumar</v>
          </cell>
          <cell r="I1708" t="str">
            <v>Correct</v>
          </cell>
          <cell r="J1708">
            <v>1.26</v>
          </cell>
          <cell r="K1708" t="str">
            <v>Low</v>
          </cell>
          <cell r="AB1708">
            <v>1</v>
          </cell>
        </row>
        <row r="1709">
          <cell r="B1709" t="str">
            <v>Pradeep Kumar</v>
          </cell>
          <cell r="I1709" t="str">
            <v>Correct</v>
          </cell>
          <cell r="J1709">
            <v>1.42</v>
          </cell>
          <cell r="K1709" t="str">
            <v>Low</v>
          </cell>
          <cell r="AB1709">
            <v>2</v>
          </cell>
        </row>
        <row r="1710">
          <cell r="B1710" t="str">
            <v>Pradeep Kumar</v>
          </cell>
          <cell r="I1710" t="str">
            <v>Correct</v>
          </cell>
          <cell r="J1710">
            <v>1.47</v>
          </cell>
          <cell r="K1710" t="str">
            <v>Low</v>
          </cell>
          <cell r="AB1710">
            <v>2</v>
          </cell>
        </row>
        <row r="1711">
          <cell r="B1711" t="str">
            <v>Pradeep Kumar</v>
          </cell>
          <cell r="I1711" t="str">
            <v>Correct</v>
          </cell>
          <cell r="J1711">
            <v>2.2799999999999998</v>
          </cell>
          <cell r="K1711" t="str">
            <v>Medium</v>
          </cell>
          <cell r="AB1711">
            <v>1.58</v>
          </cell>
        </row>
        <row r="1712">
          <cell r="B1712" t="str">
            <v>Pradeep Kumar</v>
          </cell>
          <cell r="I1712" t="str">
            <v>Correct</v>
          </cell>
          <cell r="J1712">
            <v>1.64</v>
          </cell>
          <cell r="K1712" t="str">
            <v>Medium</v>
          </cell>
          <cell r="AB1712">
            <v>2</v>
          </cell>
        </row>
        <row r="1713">
          <cell r="B1713" t="str">
            <v>Pradeep Kumar</v>
          </cell>
          <cell r="I1713" t="str">
            <v>Wrong</v>
          </cell>
          <cell r="J1713">
            <v>1.1200000000000001</v>
          </cell>
          <cell r="K1713" t="str">
            <v>Medium</v>
          </cell>
          <cell r="AB1713">
            <v>0</v>
          </cell>
        </row>
        <row r="1714">
          <cell r="B1714" t="str">
            <v>Pradeep Kumar</v>
          </cell>
          <cell r="I1714" t="str">
            <v>Correct</v>
          </cell>
          <cell r="J1714">
            <v>1.4</v>
          </cell>
          <cell r="K1714" t="str">
            <v>Medium</v>
          </cell>
          <cell r="AB1714">
            <v>2</v>
          </cell>
        </row>
        <row r="1715">
          <cell r="B1715" t="str">
            <v>Pradeep Kumar</v>
          </cell>
          <cell r="I1715" t="str">
            <v>Correct</v>
          </cell>
          <cell r="J1715">
            <v>1.63</v>
          </cell>
          <cell r="K1715" t="str">
            <v>Medium</v>
          </cell>
          <cell r="AB1715">
            <v>2</v>
          </cell>
        </row>
        <row r="1716">
          <cell r="B1716" t="str">
            <v>Pradeep Kumar</v>
          </cell>
          <cell r="I1716" t="str">
            <v>Correct</v>
          </cell>
          <cell r="J1716">
            <v>1.95</v>
          </cell>
          <cell r="K1716" t="str">
            <v>Medium</v>
          </cell>
          <cell r="AB1716">
            <v>1.85</v>
          </cell>
        </row>
        <row r="1717">
          <cell r="B1717" t="str">
            <v>Pradeep Kumar</v>
          </cell>
          <cell r="I1717" t="str">
            <v>Wrong</v>
          </cell>
          <cell r="J1717">
            <v>1.45</v>
          </cell>
          <cell r="K1717" t="str">
            <v>High</v>
          </cell>
          <cell r="AB1717">
            <v>0</v>
          </cell>
        </row>
        <row r="1718">
          <cell r="B1718" t="str">
            <v>Pradeep Kumar</v>
          </cell>
          <cell r="I1718" t="str">
            <v>Correct</v>
          </cell>
          <cell r="J1718">
            <v>1.38</v>
          </cell>
          <cell r="K1718" t="str">
            <v>High</v>
          </cell>
          <cell r="AB1718">
            <v>3</v>
          </cell>
        </row>
        <row r="1719">
          <cell r="B1719" t="str">
            <v>Pradeep Kumar</v>
          </cell>
          <cell r="I1719" t="str">
            <v>Wrong</v>
          </cell>
          <cell r="J1719">
            <v>2.33</v>
          </cell>
          <cell r="K1719" t="str">
            <v>High</v>
          </cell>
          <cell r="AB1719">
            <v>0</v>
          </cell>
        </row>
        <row r="1720">
          <cell r="B1720" t="str">
            <v>Pradeep Kumar</v>
          </cell>
          <cell r="I1720" t="str">
            <v>Correct</v>
          </cell>
          <cell r="J1720">
            <v>2.38</v>
          </cell>
          <cell r="K1720" t="str">
            <v>High</v>
          </cell>
          <cell r="AB1720">
            <v>2.52</v>
          </cell>
        </row>
        <row r="1721">
          <cell r="B1721" t="str">
            <v>Pradeep Kumar</v>
          </cell>
          <cell r="I1721" t="str">
            <v>Wrong</v>
          </cell>
          <cell r="J1721">
            <v>1.49</v>
          </cell>
          <cell r="K1721" t="str">
            <v>High</v>
          </cell>
          <cell r="AB1721">
            <v>0</v>
          </cell>
        </row>
        <row r="1722">
          <cell r="B1722" t="str">
            <v>Ragul S</v>
          </cell>
          <cell r="I1722" t="str">
            <v>Correct</v>
          </cell>
          <cell r="J1722">
            <v>2</v>
          </cell>
          <cell r="K1722" t="str">
            <v>Low</v>
          </cell>
          <cell r="AB1722">
            <v>1.5</v>
          </cell>
        </row>
        <row r="1723">
          <cell r="B1723" t="str">
            <v>Ragul S</v>
          </cell>
          <cell r="I1723" t="str">
            <v>Correct</v>
          </cell>
          <cell r="J1723">
            <v>1.1200000000000001</v>
          </cell>
          <cell r="K1723" t="str">
            <v>Low</v>
          </cell>
          <cell r="AB1723">
            <v>1</v>
          </cell>
        </row>
        <row r="1724">
          <cell r="B1724" t="str">
            <v>Ragul S</v>
          </cell>
          <cell r="I1724" t="str">
            <v>Correct</v>
          </cell>
          <cell r="J1724">
            <v>1.56</v>
          </cell>
          <cell r="K1724" t="str">
            <v>Low</v>
          </cell>
          <cell r="AB1724">
            <v>1.92</v>
          </cell>
        </row>
        <row r="1725">
          <cell r="B1725" t="str">
            <v>Ragul S</v>
          </cell>
          <cell r="I1725" t="str">
            <v>Correct</v>
          </cell>
          <cell r="J1725">
            <v>1.53</v>
          </cell>
          <cell r="K1725" t="str">
            <v>Low</v>
          </cell>
          <cell r="AB1725">
            <v>0.98</v>
          </cell>
        </row>
        <row r="1726">
          <cell r="B1726" t="str">
            <v>Ragul S</v>
          </cell>
          <cell r="I1726" t="str">
            <v>Correct</v>
          </cell>
          <cell r="J1726">
            <v>1.91</v>
          </cell>
          <cell r="K1726" t="str">
            <v>Low</v>
          </cell>
          <cell r="AB1726">
            <v>0.79</v>
          </cell>
        </row>
        <row r="1727">
          <cell r="B1727" t="str">
            <v>Ragul S</v>
          </cell>
          <cell r="I1727" t="str">
            <v>Wrong</v>
          </cell>
          <cell r="J1727">
            <v>1.04</v>
          </cell>
          <cell r="K1727" t="str">
            <v>Low</v>
          </cell>
          <cell r="AB1727">
            <v>0</v>
          </cell>
        </row>
        <row r="1728">
          <cell r="B1728" t="str">
            <v>Ragul S</v>
          </cell>
          <cell r="I1728" t="str">
            <v>Correct</v>
          </cell>
          <cell r="J1728">
            <v>1.3</v>
          </cell>
          <cell r="K1728" t="str">
            <v>Low</v>
          </cell>
          <cell r="AB1728">
            <v>1</v>
          </cell>
        </row>
        <row r="1729">
          <cell r="B1729" t="str">
            <v>Ragul S</v>
          </cell>
          <cell r="I1729" t="str">
            <v>Correct</v>
          </cell>
          <cell r="J1729">
            <v>1.61</v>
          </cell>
          <cell r="K1729" t="str">
            <v>Low</v>
          </cell>
          <cell r="AB1729">
            <v>1.86</v>
          </cell>
        </row>
        <row r="1730">
          <cell r="B1730" t="str">
            <v>Ragul S</v>
          </cell>
          <cell r="I1730" t="str">
            <v>Correct</v>
          </cell>
          <cell r="J1730">
            <v>1.94</v>
          </cell>
          <cell r="K1730" t="str">
            <v>Low</v>
          </cell>
          <cell r="AB1730">
            <v>1.55</v>
          </cell>
        </row>
        <row r="1731">
          <cell r="B1731" t="str">
            <v>Ragul S</v>
          </cell>
          <cell r="I1731" t="str">
            <v>Correct</v>
          </cell>
          <cell r="J1731">
            <v>2.19</v>
          </cell>
          <cell r="K1731" t="str">
            <v>Medium</v>
          </cell>
          <cell r="AB1731">
            <v>1.64</v>
          </cell>
        </row>
        <row r="1732">
          <cell r="B1732" t="str">
            <v>Ragul S</v>
          </cell>
          <cell r="I1732" t="str">
            <v>Correct</v>
          </cell>
          <cell r="J1732">
            <v>1.21</v>
          </cell>
          <cell r="K1732" t="str">
            <v>Medium</v>
          </cell>
          <cell r="AB1732">
            <v>2</v>
          </cell>
        </row>
        <row r="1733">
          <cell r="B1733" t="str">
            <v>Ragul S</v>
          </cell>
          <cell r="I1733" t="str">
            <v>Wrong</v>
          </cell>
          <cell r="J1733">
            <v>1.1299999999999999</v>
          </cell>
          <cell r="K1733" t="str">
            <v>Medium</v>
          </cell>
          <cell r="AB1733">
            <v>0</v>
          </cell>
        </row>
        <row r="1734">
          <cell r="B1734" t="str">
            <v>Ragul S</v>
          </cell>
          <cell r="I1734" t="str">
            <v>Correct</v>
          </cell>
          <cell r="J1734">
            <v>1.66</v>
          </cell>
          <cell r="K1734" t="str">
            <v>Medium</v>
          </cell>
          <cell r="AB1734">
            <v>2</v>
          </cell>
        </row>
        <row r="1735">
          <cell r="B1735" t="str">
            <v>Ragul S</v>
          </cell>
          <cell r="I1735" t="str">
            <v>Correct</v>
          </cell>
          <cell r="J1735">
            <v>1.49</v>
          </cell>
          <cell r="K1735" t="str">
            <v>Medium</v>
          </cell>
          <cell r="AB1735">
            <v>2</v>
          </cell>
        </row>
        <row r="1736">
          <cell r="B1736" t="str">
            <v>Ragul S</v>
          </cell>
          <cell r="I1736" t="str">
            <v>Correct</v>
          </cell>
          <cell r="J1736">
            <v>1.31</v>
          </cell>
          <cell r="K1736" t="str">
            <v>Medium</v>
          </cell>
          <cell r="AB1736">
            <v>2</v>
          </cell>
        </row>
        <row r="1737">
          <cell r="B1737" t="str">
            <v>Ragul S</v>
          </cell>
          <cell r="I1737" t="str">
            <v>Correct</v>
          </cell>
          <cell r="J1737">
            <v>1.74</v>
          </cell>
          <cell r="K1737" t="str">
            <v>High</v>
          </cell>
          <cell r="AB1737">
            <v>3</v>
          </cell>
        </row>
        <row r="1738">
          <cell r="B1738" t="str">
            <v>Ragul S</v>
          </cell>
          <cell r="I1738" t="str">
            <v>Wrong</v>
          </cell>
          <cell r="J1738">
            <v>2.4500000000000002</v>
          </cell>
          <cell r="K1738" t="str">
            <v>High</v>
          </cell>
          <cell r="AB1738">
            <v>0</v>
          </cell>
        </row>
        <row r="1739">
          <cell r="B1739" t="str">
            <v>Ragul S</v>
          </cell>
          <cell r="I1739" t="str">
            <v>Wrong</v>
          </cell>
          <cell r="J1739">
            <v>2.25</v>
          </cell>
          <cell r="K1739" t="str">
            <v>High</v>
          </cell>
          <cell r="AB1739">
            <v>0</v>
          </cell>
        </row>
        <row r="1740">
          <cell r="B1740" t="str">
            <v>Ragul S</v>
          </cell>
          <cell r="I1740" t="str">
            <v>Correct</v>
          </cell>
          <cell r="J1740">
            <v>2.5099999999999998</v>
          </cell>
          <cell r="K1740" t="str">
            <v>High</v>
          </cell>
          <cell r="AB1740">
            <v>2.39</v>
          </cell>
        </row>
        <row r="1741">
          <cell r="B1741" t="str">
            <v>Ragul S</v>
          </cell>
          <cell r="I1741" t="str">
            <v>Wrong</v>
          </cell>
          <cell r="J1741">
            <v>1.86</v>
          </cell>
          <cell r="K1741" t="str">
            <v>High</v>
          </cell>
          <cell r="AB1741">
            <v>0</v>
          </cell>
        </row>
        <row r="1742">
          <cell r="B1742" t="str">
            <v>Saranya R</v>
          </cell>
          <cell r="I1742" t="str">
            <v>Correct</v>
          </cell>
          <cell r="J1742">
            <v>1.39</v>
          </cell>
          <cell r="K1742" t="str">
            <v>Low</v>
          </cell>
          <cell r="AB1742">
            <v>2</v>
          </cell>
        </row>
        <row r="1743">
          <cell r="B1743" t="str">
            <v>Saranya R</v>
          </cell>
          <cell r="I1743" t="str">
            <v>Correct</v>
          </cell>
          <cell r="J1743">
            <v>1.95</v>
          </cell>
          <cell r="K1743" t="str">
            <v>Low</v>
          </cell>
          <cell r="AB1743">
            <v>0.77</v>
          </cell>
        </row>
        <row r="1744">
          <cell r="B1744" t="str">
            <v>Saranya R</v>
          </cell>
          <cell r="I1744" t="str">
            <v>Correct</v>
          </cell>
          <cell r="J1744">
            <v>1.6</v>
          </cell>
          <cell r="K1744" t="str">
            <v>Low</v>
          </cell>
          <cell r="AB1744">
            <v>1.88</v>
          </cell>
        </row>
        <row r="1745">
          <cell r="B1745" t="str">
            <v>Saranya R</v>
          </cell>
          <cell r="I1745" t="str">
            <v>Wrong</v>
          </cell>
          <cell r="J1745">
            <v>1.1399999999999999</v>
          </cell>
          <cell r="K1745" t="str">
            <v>Low</v>
          </cell>
          <cell r="AB1745">
            <v>0</v>
          </cell>
        </row>
        <row r="1746">
          <cell r="B1746" t="str">
            <v>Saranya R</v>
          </cell>
          <cell r="I1746" t="str">
            <v>Correct</v>
          </cell>
          <cell r="J1746">
            <v>1.19</v>
          </cell>
          <cell r="K1746" t="str">
            <v>Low</v>
          </cell>
          <cell r="AB1746">
            <v>1</v>
          </cell>
        </row>
        <row r="1747">
          <cell r="B1747" t="str">
            <v>Saranya R</v>
          </cell>
          <cell r="I1747" t="str">
            <v>Correct</v>
          </cell>
          <cell r="J1747">
            <v>1.0900000000000001</v>
          </cell>
          <cell r="K1747" t="str">
            <v>Low</v>
          </cell>
          <cell r="AB1747">
            <v>2</v>
          </cell>
        </row>
        <row r="1748">
          <cell r="B1748" t="str">
            <v>Saranya R</v>
          </cell>
          <cell r="I1748" t="str">
            <v>Correct</v>
          </cell>
          <cell r="J1748">
            <v>1.42</v>
          </cell>
          <cell r="K1748" t="str">
            <v>Low</v>
          </cell>
          <cell r="AB1748">
            <v>1</v>
          </cell>
        </row>
        <row r="1749">
          <cell r="B1749" t="str">
            <v>Saranya R</v>
          </cell>
          <cell r="I1749" t="str">
            <v>Correct</v>
          </cell>
          <cell r="J1749">
            <v>0.95</v>
          </cell>
          <cell r="K1749" t="str">
            <v>Low</v>
          </cell>
          <cell r="AB1749">
            <v>2</v>
          </cell>
        </row>
        <row r="1750">
          <cell r="B1750" t="str">
            <v>Saranya R</v>
          </cell>
          <cell r="I1750" t="str">
            <v>Correct</v>
          </cell>
          <cell r="J1750">
            <v>1.6</v>
          </cell>
          <cell r="K1750" t="str">
            <v>Low</v>
          </cell>
          <cell r="AB1750">
            <v>1.88</v>
          </cell>
        </row>
        <row r="1751">
          <cell r="B1751" t="str">
            <v>Saranya R</v>
          </cell>
          <cell r="I1751" t="str">
            <v>Correct</v>
          </cell>
          <cell r="J1751">
            <v>2.2999999999999998</v>
          </cell>
          <cell r="K1751" t="str">
            <v>Medium</v>
          </cell>
          <cell r="AB1751">
            <v>1.57</v>
          </cell>
        </row>
        <row r="1752">
          <cell r="B1752" t="str">
            <v>Saranya R</v>
          </cell>
          <cell r="I1752" t="str">
            <v>Correct</v>
          </cell>
          <cell r="J1752">
            <v>1.26</v>
          </cell>
          <cell r="K1752" t="str">
            <v>Medium</v>
          </cell>
          <cell r="AB1752">
            <v>2</v>
          </cell>
        </row>
        <row r="1753">
          <cell r="B1753" t="str">
            <v>Saranya R</v>
          </cell>
          <cell r="I1753" t="str">
            <v>Correct</v>
          </cell>
          <cell r="J1753">
            <v>1.61</v>
          </cell>
          <cell r="K1753" t="str">
            <v>Medium</v>
          </cell>
          <cell r="AB1753">
            <v>2</v>
          </cell>
        </row>
        <row r="1754">
          <cell r="B1754" t="str">
            <v>Saranya R</v>
          </cell>
          <cell r="I1754" t="str">
            <v>Wrong</v>
          </cell>
          <cell r="J1754">
            <v>1.22</v>
          </cell>
          <cell r="K1754" t="str">
            <v>Medium</v>
          </cell>
          <cell r="AB1754">
            <v>0</v>
          </cell>
        </row>
        <row r="1755">
          <cell r="B1755" t="str">
            <v>Saranya R</v>
          </cell>
          <cell r="I1755" t="str">
            <v>Correct</v>
          </cell>
          <cell r="J1755">
            <v>1.1100000000000001</v>
          </cell>
          <cell r="K1755" t="str">
            <v>Medium</v>
          </cell>
          <cell r="AB1755">
            <v>2</v>
          </cell>
        </row>
        <row r="1756">
          <cell r="B1756" t="str">
            <v>Saranya R</v>
          </cell>
          <cell r="I1756" t="str">
            <v>Correct</v>
          </cell>
          <cell r="J1756">
            <v>1.91</v>
          </cell>
          <cell r="K1756" t="str">
            <v>Medium</v>
          </cell>
          <cell r="AB1756">
            <v>1.88</v>
          </cell>
        </row>
        <row r="1757">
          <cell r="B1757" t="str">
            <v>Saranya R</v>
          </cell>
          <cell r="I1757" t="str">
            <v>Correct</v>
          </cell>
          <cell r="J1757">
            <v>1.33</v>
          </cell>
          <cell r="K1757" t="str">
            <v>High</v>
          </cell>
          <cell r="AB1757">
            <v>3</v>
          </cell>
        </row>
        <row r="1758">
          <cell r="B1758" t="str">
            <v>Saranya R</v>
          </cell>
          <cell r="I1758" t="str">
            <v>Wrong</v>
          </cell>
          <cell r="J1758">
            <v>1.27</v>
          </cell>
          <cell r="K1758" t="str">
            <v>High</v>
          </cell>
          <cell r="AB1758">
            <v>0</v>
          </cell>
        </row>
        <row r="1759">
          <cell r="B1759" t="str">
            <v>Saranya R</v>
          </cell>
          <cell r="I1759" t="str">
            <v>Correct</v>
          </cell>
          <cell r="J1759">
            <v>1.48</v>
          </cell>
          <cell r="K1759" t="str">
            <v>High</v>
          </cell>
          <cell r="AB1759">
            <v>3</v>
          </cell>
        </row>
        <row r="1760">
          <cell r="B1760" t="str">
            <v>Saranya R</v>
          </cell>
          <cell r="I1760" t="str">
            <v>Wrong</v>
          </cell>
          <cell r="J1760">
            <v>1.74</v>
          </cell>
          <cell r="K1760" t="str">
            <v>High</v>
          </cell>
          <cell r="AB1760">
            <v>0</v>
          </cell>
        </row>
        <row r="1761">
          <cell r="B1761" t="str">
            <v>Saranya R</v>
          </cell>
          <cell r="I1761" t="str">
            <v>Wrong</v>
          </cell>
          <cell r="J1761">
            <v>1.92</v>
          </cell>
          <cell r="K1761" t="str">
            <v>High</v>
          </cell>
          <cell r="AB1761">
            <v>0</v>
          </cell>
        </row>
        <row r="1762">
          <cell r="B1762" t="str">
            <v>Thilaga Devi</v>
          </cell>
          <cell r="I1762" t="str">
            <v>Correct</v>
          </cell>
          <cell r="J1762">
            <v>1.96</v>
          </cell>
          <cell r="K1762" t="str">
            <v>Low</v>
          </cell>
          <cell r="AB1762">
            <v>1.53</v>
          </cell>
        </row>
        <row r="1763">
          <cell r="B1763" t="str">
            <v>Thilaga Devi</v>
          </cell>
          <cell r="I1763" t="str">
            <v>Correct</v>
          </cell>
          <cell r="J1763">
            <v>1.81</v>
          </cell>
          <cell r="K1763" t="str">
            <v>Low</v>
          </cell>
          <cell r="AB1763">
            <v>0.83</v>
          </cell>
        </row>
        <row r="1764">
          <cell r="B1764" t="str">
            <v>Thilaga Devi</v>
          </cell>
          <cell r="I1764" t="str">
            <v>Wrong</v>
          </cell>
          <cell r="J1764">
            <v>1.9</v>
          </cell>
          <cell r="K1764" t="str">
            <v>Low</v>
          </cell>
          <cell r="AB1764">
            <v>0</v>
          </cell>
        </row>
        <row r="1765">
          <cell r="B1765" t="str">
            <v>Thilaga Devi</v>
          </cell>
          <cell r="I1765" t="str">
            <v>Correct</v>
          </cell>
          <cell r="J1765">
            <v>1.02</v>
          </cell>
          <cell r="K1765" t="str">
            <v>Low</v>
          </cell>
          <cell r="AB1765">
            <v>1</v>
          </cell>
        </row>
        <row r="1766">
          <cell r="B1766" t="str">
            <v>Thilaga Devi</v>
          </cell>
          <cell r="I1766" t="str">
            <v>Wrong</v>
          </cell>
          <cell r="J1766">
            <v>0.97</v>
          </cell>
          <cell r="K1766" t="str">
            <v>Low</v>
          </cell>
          <cell r="AB1766">
            <v>0</v>
          </cell>
        </row>
        <row r="1767">
          <cell r="B1767" t="str">
            <v>Thilaga Devi</v>
          </cell>
          <cell r="I1767" t="str">
            <v>Correct</v>
          </cell>
          <cell r="J1767">
            <v>1.54</v>
          </cell>
          <cell r="K1767" t="str">
            <v>Low</v>
          </cell>
          <cell r="AB1767">
            <v>1.95</v>
          </cell>
        </row>
        <row r="1768">
          <cell r="B1768" t="str">
            <v>Thilaga Devi</v>
          </cell>
          <cell r="I1768" t="str">
            <v>Correct</v>
          </cell>
          <cell r="J1768">
            <v>1.5</v>
          </cell>
          <cell r="K1768" t="str">
            <v>Low</v>
          </cell>
          <cell r="AB1768">
            <v>1</v>
          </cell>
        </row>
        <row r="1769">
          <cell r="B1769" t="str">
            <v>Thilaga Devi</v>
          </cell>
          <cell r="I1769" t="str">
            <v>Correct</v>
          </cell>
          <cell r="J1769">
            <v>1.94</v>
          </cell>
          <cell r="K1769" t="str">
            <v>Low</v>
          </cell>
          <cell r="AB1769">
            <v>1.55</v>
          </cell>
        </row>
        <row r="1770">
          <cell r="B1770" t="str">
            <v>Thilaga Devi</v>
          </cell>
          <cell r="I1770" t="str">
            <v>Correct</v>
          </cell>
          <cell r="J1770">
            <v>1.42</v>
          </cell>
          <cell r="K1770" t="str">
            <v>Low</v>
          </cell>
          <cell r="AB1770">
            <v>2</v>
          </cell>
        </row>
        <row r="1771">
          <cell r="B1771" t="str">
            <v>Thilaga Devi</v>
          </cell>
          <cell r="I1771" t="str">
            <v>Correct</v>
          </cell>
          <cell r="J1771">
            <v>1.7</v>
          </cell>
          <cell r="K1771" t="str">
            <v>Medium</v>
          </cell>
          <cell r="AB1771">
            <v>2</v>
          </cell>
        </row>
        <row r="1772">
          <cell r="B1772" t="str">
            <v>Thilaga Devi</v>
          </cell>
          <cell r="I1772" t="str">
            <v>Correct</v>
          </cell>
          <cell r="J1772">
            <v>1.27</v>
          </cell>
          <cell r="K1772" t="str">
            <v>Medium</v>
          </cell>
          <cell r="AB1772">
            <v>2</v>
          </cell>
        </row>
        <row r="1773">
          <cell r="B1773" t="str">
            <v>Thilaga Devi</v>
          </cell>
          <cell r="I1773" t="str">
            <v>Correct</v>
          </cell>
          <cell r="J1773">
            <v>1.58</v>
          </cell>
          <cell r="K1773" t="str">
            <v>Medium</v>
          </cell>
          <cell r="AB1773">
            <v>2</v>
          </cell>
        </row>
        <row r="1774">
          <cell r="B1774" t="str">
            <v>Thilaga Devi</v>
          </cell>
          <cell r="I1774" t="str">
            <v>Correct</v>
          </cell>
          <cell r="J1774">
            <v>1.63</v>
          </cell>
          <cell r="K1774" t="str">
            <v>Medium</v>
          </cell>
          <cell r="AB1774">
            <v>2</v>
          </cell>
        </row>
        <row r="1775">
          <cell r="B1775" t="str">
            <v>Thilaga Devi</v>
          </cell>
          <cell r="I1775" t="str">
            <v>Correct</v>
          </cell>
          <cell r="J1775">
            <v>1.61</v>
          </cell>
          <cell r="K1775" t="str">
            <v>Medium</v>
          </cell>
          <cell r="AB1775">
            <v>2</v>
          </cell>
        </row>
        <row r="1776">
          <cell r="B1776" t="str">
            <v>Thilaga Devi</v>
          </cell>
          <cell r="I1776" t="str">
            <v>Wrong</v>
          </cell>
          <cell r="J1776">
            <v>1.55</v>
          </cell>
          <cell r="K1776" t="str">
            <v>Medium</v>
          </cell>
          <cell r="AB1776">
            <v>0</v>
          </cell>
        </row>
        <row r="1777">
          <cell r="B1777" t="str">
            <v>Thilaga Devi</v>
          </cell>
          <cell r="I1777" t="str">
            <v>Correct</v>
          </cell>
          <cell r="J1777">
            <v>2.31</v>
          </cell>
          <cell r="K1777" t="str">
            <v>High</v>
          </cell>
          <cell r="AB1777">
            <v>2.6</v>
          </cell>
        </row>
        <row r="1778">
          <cell r="B1778" t="str">
            <v>Thilaga Devi</v>
          </cell>
          <cell r="I1778" t="str">
            <v>Correct</v>
          </cell>
          <cell r="J1778">
            <v>2.17</v>
          </cell>
          <cell r="K1778" t="str">
            <v>High</v>
          </cell>
          <cell r="AB1778">
            <v>2.77</v>
          </cell>
        </row>
        <row r="1779">
          <cell r="B1779" t="str">
            <v>Thilaga Devi</v>
          </cell>
          <cell r="I1779" t="str">
            <v>Wrong</v>
          </cell>
          <cell r="J1779">
            <v>1.25</v>
          </cell>
          <cell r="K1779" t="str">
            <v>High</v>
          </cell>
          <cell r="AB1779">
            <v>0</v>
          </cell>
        </row>
        <row r="1780">
          <cell r="B1780" t="str">
            <v>Thilaga Devi</v>
          </cell>
          <cell r="I1780" t="str">
            <v>Wrong</v>
          </cell>
          <cell r="J1780">
            <v>1.9</v>
          </cell>
          <cell r="K1780" t="str">
            <v>High</v>
          </cell>
          <cell r="AB1780">
            <v>0</v>
          </cell>
        </row>
        <row r="1781">
          <cell r="B1781" t="str">
            <v>Thilaga Devi</v>
          </cell>
          <cell r="I1781" t="str">
            <v>Wrong</v>
          </cell>
          <cell r="J1781">
            <v>1.58</v>
          </cell>
          <cell r="K1781" t="str">
            <v>High</v>
          </cell>
          <cell r="AB1781">
            <v>0</v>
          </cell>
        </row>
        <row r="1782">
          <cell r="B1782" t="str">
            <v>Uma Maheshwari</v>
          </cell>
          <cell r="I1782" t="str">
            <v>Correct</v>
          </cell>
          <cell r="J1782">
            <v>1.9</v>
          </cell>
          <cell r="K1782" t="str">
            <v>Low</v>
          </cell>
          <cell r="AB1782">
            <v>1.58</v>
          </cell>
        </row>
        <row r="1783">
          <cell r="B1783" t="str">
            <v>Uma Maheshwari</v>
          </cell>
          <cell r="I1783" t="str">
            <v>Correct</v>
          </cell>
          <cell r="J1783">
            <v>1.04</v>
          </cell>
          <cell r="K1783" t="str">
            <v>Low</v>
          </cell>
          <cell r="AB1783">
            <v>1</v>
          </cell>
        </row>
        <row r="1784">
          <cell r="B1784" t="str">
            <v>Uma Maheshwari</v>
          </cell>
          <cell r="I1784" t="str">
            <v>Correct</v>
          </cell>
          <cell r="J1784">
            <v>1.53</v>
          </cell>
          <cell r="K1784" t="str">
            <v>Low</v>
          </cell>
          <cell r="AB1784">
            <v>1.96</v>
          </cell>
        </row>
        <row r="1785">
          <cell r="B1785" t="str">
            <v>Uma Maheshwari</v>
          </cell>
          <cell r="I1785" t="str">
            <v>Correct</v>
          </cell>
          <cell r="J1785">
            <v>0.91</v>
          </cell>
          <cell r="K1785" t="str">
            <v>Low</v>
          </cell>
          <cell r="AB1785">
            <v>1</v>
          </cell>
        </row>
        <row r="1786">
          <cell r="B1786" t="str">
            <v>Uma Maheshwari</v>
          </cell>
          <cell r="I1786" t="str">
            <v>Correct</v>
          </cell>
          <cell r="J1786">
            <v>1.94</v>
          </cell>
          <cell r="K1786" t="str">
            <v>Low</v>
          </cell>
          <cell r="AB1786">
            <v>0.77</v>
          </cell>
        </row>
        <row r="1787">
          <cell r="B1787" t="str">
            <v>Uma Maheshwari</v>
          </cell>
          <cell r="I1787" t="str">
            <v>Correct</v>
          </cell>
          <cell r="J1787">
            <v>1.39</v>
          </cell>
          <cell r="K1787" t="str">
            <v>Low</v>
          </cell>
          <cell r="AB1787">
            <v>2</v>
          </cell>
        </row>
        <row r="1788">
          <cell r="B1788" t="str">
            <v>Uma Maheshwari</v>
          </cell>
          <cell r="I1788" t="str">
            <v>Wrong</v>
          </cell>
          <cell r="J1788">
            <v>1.42</v>
          </cell>
          <cell r="K1788" t="str">
            <v>Low</v>
          </cell>
          <cell r="AB1788">
            <v>0</v>
          </cell>
        </row>
        <row r="1789">
          <cell r="B1789" t="str">
            <v>Uma Maheshwari</v>
          </cell>
          <cell r="I1789" t="str">
            <v>Correct</v>
          </cell>
          <cell r="J1789">
            <v>1.04</v>
          </cell>
          <cell r="K1789" t="str">
            <v>Low</v>
          </cell>
          <cell r="AB1789">
            <v>2</v>
          </cell>
        </row>
        <row r="1790">
          <cell r="B1790" t="str">
            <v>Uma Maheshwari</v>
          </cell>
          <cell r="I1790" t="str">
            <v>Correct</v>
          </cell>
          <cell r="J1790">
            <v>1.46</v>
          </cell>
          <cell r="K1790" t="str">
            <v>Low</v>
          </cell>
          <cell r="AB1790">
            <v>2</v>
          </cell>
        </row>
        <row r="1791">
          <cell r="B1791" t="str">
            <v>Uma Maheshwari</v>
          </cell>
          <cell r="I1791" t="str">
            <v>Correct</v>
          </cell>
          <cell r="J1791">
            <v>1.28</v>
          </cell>
          <cell r="K1791" t="str">
            <v>Medium</v>
          </cell>
          <cell r="AB1791">
            <v>2</v>
          </cell>
        </row>
        <row r="1792">
          <cell r="B1792" t="str">
            <v>Uma Maheshwari</v>
          </cell>
          <cell r="I1792" t="str">
            <v>Wrong</v>
          </cell>
          <cell r="J1792">
            <v>1.3</v>
          </cell>
          <cell r="K1792" t="str">
            <v>Medium</v>
          </cell>
          <cell r="AB1792">
            <v>0</v>
          </cell>
        </row>
        <row r="1793">
          <cell r="B1793" t="str">
            <v>Uma Maheshwari</v>
          </cell>
          <cell r="I1793" t="str">
            <v>Correct</v>
          </cell>
          <cell r="J1793">
            <v>1.5</v>
          </cell>
          <cell r="K1793" t="str">
            <v>Medium</v>
          </cell>
          <cell r="AB1793">
            <v>2</v>
          </cell>
        </row>
        <row r="1794">
          <cell r="B1794" t="str">
            <v>Uma Maheshwari</v>
          </cell>
          <cell r="I1794" t="str">
            <v>Wrong</v>
          </cell>
          <cell r="J1794">
            <v>1.51</v>
          </cell>
          <cell r="K1794" t="str">
            <v>Medium</v>
          </cell>
          <cell r="AB1794">
            <v>0</v>
          </cell>
        </row>
        <row r="1795">
          <cell r="B1795" t="str">
            <v>Uma Maheshwari</v>
          </cell>
          <cell r="I1795" t="str">
            <v>Correct</v>
          </cell>
          <cell r="J1795">
            <v>1.42</v>
          </cell>
          <cell r="K1795" t="str">
            <v>Medium</v>
          </cell>
          <cell r="AB1795">
            <v>2</v>
          </cell>
        </row>
        <row r="1796">
          <cell r="B1796" t="str">
            <v>Uma Maheshwari</v>
          </cell>
          <cell r="I1796" t="str">
            <v>Correct</v>
          </cell>
          <cell r="J1796">
            <v>1.23</v>
          </cell>
          <cell r="K1796" t="str">
            <v>Medium</v>
          </cell>
          <cell r="AB1796">
            <v>2</v>
          </cell>
        </row>
        <row r="1797">
          <cell r="B1797" t="str">
            <v>Uma Maheshwari</v>
          </cell>
          <cell r="I1797" t="str">
            <v>Wrong</v>
          </cell>
          <cell r="J1797">
            <v>1.37</v>
          </cell>
          <cell r="K1797" t="str">
            <v>High</v>
          </cell>
          <cell r="AB1797">
            <v>0</v>
          </cell>
        </row>
        <row r="1798">
          <cell r="B1798" t="str">
            <v>Uma Maheshwari</v>
          </cell>
          <cell r="I1798" t="str">
            <v>Correct</v>
          </cell>
          <cell r="J1798">
            <v>1.3</v>
          </cell>
          <cell r="K1798" t="str">
            <v>High</v>
          </cell>
          <cell r="AB1798">
            <v>3</v>
          </cell>
        </row>
        <row r="1799">
          <cell r="B1799" t="str">
            <v>Uma Maheshwari</v>
          </cell>
          <cell r="I1799" t="str">
            <v>Wrong</v>
          </cell>
          <cell r="J1799">
            <v>2.23</v>
          </cell>
          <cell r="K1799" t="str">
            <v>High</v>
          </cell>
          <cell r="AB1799">
            <v>0</v>
          </cell>
        </row>
        <row r="1800">
          <cell r="B1800" t="str">
            <v>Uma Maheshwari</v>
          </cell>
          <cell r="I1800" t="str">
            <v>Wrong</v>
          </cell>
          <cell r="J1800">
            <v>2.36</v>
          </cell>
          <cell r="K1800" t="str">
            <v>High</v>
          </cell>
          <cell r="AB1800">
            <v>0</v>
          </cell>
        </row>
        <row r="1801">
          <cell r="B1801" t="str">
            <v>Uma Maheshwari</v>
          </cell>
          <cell r="I1801" t="str">
            <v>Wrong</v>
          </cell>
          <cell r="J1801">
            <v>1.82</v>
          </cell>
          <cell r="K1801" t="str">
            <v>High</v>
          </cell>
          <cell r="AB1801">
            <v>0</v>
          </cell>
        </row>
        <row r="1802">
          <cell r="B1802" t="str">
            <v>Vasanth Kumar</v>
          </cell>
          <cell r="I1802" t="str">
            <v>Correct</v>
          </cell>
          <cell r="J1802">
            <v>0.92</v>
          </cell>
          <cell r="K1802" t="str">
            <v>Low</v>
          </cell>
          <cell r="AB1802">
            <v>2</v>
          </cell>
        </row>
        <row r="1803">
          <cell r="B1803" t="str">
            <v>Vasanth Kumar</v>
          </cell>
          <cell r="I1803" t="str">
            <v>Correct</v>
          </cell>
          <cell r="J1803">
            <v>1.08</v>
          </cell>
          <cell r="K1803" t="str">
            <v>Low</v>
          </cell>
          <cell r="AB1803">
            <v>1</v>
          </cell>
        </row>
        <row r="1804">
          <cell r="B1804" t="str">
            <v>Vasanth Kumar</v>
          </cell>
          <cell r="I1804" t="str">
            <v>Correct</v>
          </cell>
          <cell r="J1804">
            <v>1.67</v>
          </cell>
          <cell r="K1804" t="str">
            <v>Low</v>
          </cell>
          <cell r="AB1804">
            <v>1.8</v>
          </cell>
        </row>
        <row r="1805">
          <cell r="B1805" t="str">
            <v>Vasanth Kumar</v>
          </cell>
          <cell r="I1805" t="str">
            <v>Correct</v>
          </cell>
          <cell r="J1805">
            <v>1.63</v>
          </cell>
          <cell r="K1805" t="str">
            <v>Low</v>
          </cell>
          <cell r="AB1805">
            <v>0.92</v>
          </cell>
        </row>
        <row r="1806">
          <cell r="B1806" t="str">
            <v>Vasanth Kumar</v>
          </cell>
          <cell r="I1806" t="str">
            <v>Correct</v>
          </cell>
          <cell r="J1806">
            <v>1.2</v>
          </cell>
          <cell r="K1806" t="str">
            <v>Low</v>
          </cell>
          <cell r="AB1806">
            <v>1</v>
          </cell>
        </row>
        <row r="1807">
          <cell r="B1807" t="str">
            <v>Vasanth Kumar</v>
          </cell>
          <cell r="I1807" t="str">
            <v>Correct</v>
          </cell>
          <cell r="J1807">
            <v>0.92</v>
          </cell>
          <cell r="K1807" t="str">
            <v>Low</v>
          </cell>
          <cell r="AB1807">
            <v>2</v>
          </cell>
        </row>
        <row r="1808">
          <cell r="B1808" t="str">
            <v>Vasanth Kumar</v>
          </cell>
          <cell r="I1808" t="str">
            <v>Correct</v>
          </cell>
          <cell r="J1808">
            <v>1.58</v>
          </cell>
          <cell r="K1808" t="str">
            <v>Low</v>
          </cell>
          <cell r="AB1808">
            <v>0.95</v>
          </cell>
        </row>
        <row r="1809">
          <cell r="B1809" t="str">
            <v>Vasanth Kumar</v>
          </cell>
          <cell r="I1809" t="str">
            <v>Wrong</v>
          </cell>
          <cell r="J1809">
            <v>1.1000000000000001</v>
          </cell>
          <cell r="K1809" t="str">
            <v>Low</v>
          </cell>
          <cell r="AB1809">
            <v>0</v>
          </cell>
        </row>
        <row r="1810">
          <cell r="B1810" t="str">
            <v>Vasanth Kumar</v>
          </cell>
          <cell r="I1810" t="str">
            <v>Correct</v>
          </cell>
          <cell r="J1810">
            <v>1.9</v>
          </cell>
          <cell r="K1810" t="str">
            <v>Low</v>
          </cell>
          <cell r="AB1810">
            <v>1.58</v>
          </cell>
        </row>
        <row r="1811">
          <cell r="B1811" t="str">
            <v>Vasanth Kumar</v>
          </cell>
          <cell r="I1811" t="str">
            <v>Correct</v>
          </cell>
          <cell r="J1811">
            <v>1.98</v>
          </cell>
          <cell r="K1811" t="str">
            <v>Medium</v>
          </cell>
          <cell r="AB1811">
            <v>1.82</v>
          </cell>
        </row>
        <row r="1812">
          <cell r="B1812" t="str">
            <v>Vasanth Kumar</v>
          </cell>
          <cell r="I1812" t="str">
            <v>Wrong</v>
          </cell>
          <cell r="J1812">
            <v>2.29</v>
          </cell>
          <cell r="K1812" t="str">
            <v>Medium</v>
          </cell>
          <cell r="AB1812">
            <v>0</v>
          </cell>
        </row>
        <row r="1813">
          <cell r="B1813" t="str">
            <v>Vasanth Kumar</v>
          </cell>
          <cell r="I1813" t="str">
            <v>Wrong</v>
          </cell>
          <cell r="J1813">
            <v>1.71</v>
          </cell>
          <cell r="K1813" t="str">
            <v>Medium</v>
          </cell>
          <cell r="AB1813">
            <v>0</v>
          </cell>
        </row>
        <row r="1814">
          <cell r="B1814" t="str">
            <v>Vasanth Kumar</v>
          </cell>
          <cell r="I1814" t="str">
            <v>Correct</v>
          </cell>
          <cell r="J1814">
            <v>1.66</v>
          </cell>
          <cell r="K1814" t="str">
            <v>Medium</v>
          </cell>
          <cell r="AB1814">
            <v>2</v>
          </cell>
        </row>
        <row r="1815">
          <cell r="B1815" t="str">
            <v>Vasanth Kumar</v>
          </cell>
          <cell r="I1815" t="str">
            <v>Correct</v>
          </cell>
          <cell r="J1815">
            <v>2.02</v>
          </cell>
          <cell r="K1815" t="str">
            <v>Medium</v>
          </cell>
          <cell r="AB1815">
            <v>1.78</v>
          </cell>
        </row>
        <row r="1816">
          <cell r="B1816" t="str">
            <v>Vasanth Kumar</v>
          </cell>
          <cell r="I1816" t="str">
            <v>Wrong</v>
          </cell>
          <cell r="J1816">
            <v>1.62</v>
          </cell>
          <cell r="K1816" t="str">
            <v>Medium</v>
          </cell>
          <cell r="AB1816">
            <v>0</v>
          </cell>
        </row>
        <row r="1817">
          <cell r="B1817" t="str">
            <v>Vasanth Kumar</v>
          </cell>
          <cell r="I1817" t="str">
            <v>Correct</v>
          </cell>
          <cell r="J1817">
            <v>1.6</v>
          </cell>
          <cell r="K1817" t="str">
            <v>High</v>
          </cell>
          <cell r="AB1817">
            <v>3</v>
          </cell>
        </row>
        <row r="1818">
          <cell r="B1818" t="str">
            <v>Vasanth Kumar</v>
          </cell>
          <cell r="I1818" t="str">
            <v>Correct</v>
          </cell>
          <cell r="J1818">
            <v>1.81</v>
          </cell>
          <cell r="K1818" t="str">
            <v>High</v>
          </cell>
          <cell r="AB1818">
            <v>3</v>
          </cell>
        </row>
        <row r="1819">
          <cell r="B1819" t="str">
            <v>Vasanth Kumar</v>
          </cell>
          <cell r="I1819" t="str">
            <v>Correct</v>
          </cell>
          <cell r="J1819">
            <v>2.56</v>
          </cell>
          <cell r="K1819" t="str">
            <v>High</v>
          </cell>
          <cell r="AB1819">
            <v>2.34</v>
          </cell>
        </row>
        <row r="1820">
          <cell r="B1820" t="str">
            <v>Vasanth Kumar</v>
          </cell>
          <cell r="I1820" t="str">
            <v>Correct</v>
          </cell>
          <cell r="J1820">
            <v>1.3</v>
          </cell>
          <cell r="K1820" t="str">
            <v>High</v>
          </cell>
          <cell r="AB1820">
            <v>3</v>
          </cell>
        </row>
        <row r="1821">
          <cell r="B1821" t="str">
            <v>Vasanth Kumar</v>
          </cell>
          <cell r="I1821" t="str">
            <v>Wrong</v>
          </cell>
          <cell r="J1821">
            <v>1.97</v>
          </cell>
          <cell r="K1821" t="str">
            <v>High</v>
          </cell>
          <cell r="AB1821">
            <v>0</v>
          </cell>
        </row>
        <row r="1822">
          <cell r="B1822" t="str">
            <v>Yogesh Raj</v>
          </cell>
          <cell r="I1822" t="str">
            <v>Correct</v>
          </cell>
          <cell r="J1822">
            <v>1.93</v>
          </cell>
          <cell r="K1822" t="str">
            <v>Low</v>
          </cell>
          <cell r="AB1822">
            <v>1.55</v>
          </cell>
        </row>
        <row r="1823">
          <cell r="B1823" t="str">
            <v>Yogesh Raj</v>
          </cell>
          <cell r="I1823" t="str">
            <v>Correct</v>
          </cell>
          <cell r="J1823">
            <v>1.86</v>
          </cell>
          <cell r="K1823" t="str">
            <v>Low</v>
          </cell>
          <cell r="AB1823">
            <v>0.81</v>
          </cell>
        </row>
        <row r="1824">
          <cell r="B1824" t="str">
            <v>Yogesh Raj</v>
          </cell>
          <cell r="I1824" t="str">
            <v>Correct</v>
          </cell>
          <cell r="J1824">
            <v>1.42</v>
          </cell>
          <cell r="K1824" t="str">
            <v>Low</v>
          </cell>
          <cell r="AB1824">
            <v>2</v>
          </cell>
        </row>
        <row r="1825">
          <cell r="B1825" t="str">
            <v>Yogesh Raj</v>
          </cell>
          <cell r="I1825" t="str">
            <v>Correct</v>
          </cell>
          <cell r="J1825">
            <v>1.95</v>
          </cell>
          <cell r="K1825" t="str">
            <v>Low</v>
          </cell>
          <cell r="AB1825">
            <v>0.77</v>
          </cell>
        </row>
        <row r="1826">
          <cell r="B1826" t="str">
            <v>Yogesh Raj</v>
          </cell>
          <cell r="I1826" t="str">
            <v>Correct</v>
          </cell>
          <cell r="J1826">
            <v>1.98</v>
          </cell>
          <cell r="K1826" t="str">
            <v>Low</v>
          </cell>
          <cell r="AB1826">
            <v>0.76</v>
          </cell>
        </row>
        <row r="1827">
          <cell r="B1827" t="str">
            <v>Yogesh Raj</v>
          </cell>
          <cell r="I1827" t="str">
            <v>Correct</v>
          </cell>
          <cell r="J1827">
            <v>1.1000000000000001</v>
          </cell>
          <cell r="K1827" t="str">
            <v>Low</v>
          </cell>
          <cell r="AB1827">
            <v>2</v>
          </cell>
        </row>
        <row r="1828">
          <cell r="B1828" t="str">
            <v>Yogesh Raj</v>
          </cell>
          <cell r="I1828" t="str">
            <v>Correct</v>
          </cell>
          <cell r="J1828">
            <v>1.72</v>
          </cell>
          <cell r="K1828" t="str">
            <v>Low</v>
          </cell>
          <cell r="AB1828">
            <v>0.87</v>
          </cell>
        </row>
        <row r="1829">
          <cell r="B1829" t="str">
            <v>Yogesh Raj</v>
          </cell>
          <cell r="I1829" t="str">
            <v>Correct</v>
          </cell>
          <cell r="J1829">
            <v>1.1599999999999999</v>
          </cell>
          <cell r="K1829" t="str">
            <v>Low</v>
          </cell>
          <cell r="AB1829">
            <v>2</v>
          </cell>
        </row>
        <row r="1830">
          <cell r="B1830" t="str">
            <v>Yogesh Raj</v>
          </cell>
          <cell r="I1830" t="str">
            <v>Wrong</v>
          </cell>
          <cell r="J1830">
            <v>1.91</v>
          </cell>
          <cell r="K1830" t="str">
            <v>Low</v>
          </cell>
          <cell r="AB1830">
            <v>0</v>
          </cell>
        </row>
        <row r="1831">
          <cell r="B1831" t="str">
            <v>Yogesh Raj</v>
          </cell>
          <cell r="I1831" t="str">
            <v>Correct</v>
          </cell>
          <cell r="J1831">
            <v>1.25</v>
          </cell>
          <cell r="K1831" t="str">
            <v>Medium</v>
          </cell>
          <cell r="AB1831">
            <v>2</v>
          </cell>
        </row>
        <row r="1832">
          <cell r="B1832" t="str">
            <v>Yogesh Raj</v>
          </cell>
          <cell r="I1832" t="str">
            <v>Correct</v>
          </cell>
          <cell r="J1832">
            <v>1.22</v>
          </cell>
          <cell r="K1832" t="str">
            <v>Medium</v>
          </cell>
          <cell r="AB1832">
            <v>2</v>
          </cell>
        </row>
        <row r="1833">
          <cell r="B1833" t="str">
            <v>Yogesh Raj</v>
          </cell>
          <cell r="I1833" t="str">
            <v>Wrong</v>
          </cell>
          <cell r="J1833">
            <v>1.57</v>
          </cell>
          <cell r="K1833" t="str">
            <v>Medium</v>
          </cell>
          <cell r="AB1833">
            <v>0</v>
          </cell>
        </row>
        <row r="1834">
          <cell r="B1834" t="str">
            <v>Yogesh Raj</v>
          </cell>
          <cell r="I1834" t="str">
            <v>Wrong</v>
          </cell>
          <cell r="J1834">
            <v>1.41</v>
          </cell>
          <cell r="K1834" t="str">
            <v>Medium</v>
          </cell>
          <cell r="AB1834">
            <v>0</v>
          </cell>
        </row>
        <row r="1835">
          <cell r="B1835" t="str">
            <v>Yogesh Raj</v>
          </cell>
          <cell r="I1835" t="str">
            <v>Correct</v>
          </cell>
          <cell r="J1835">
            <v>1.31</v>
          </cell>
          <cell r="K1835" t="str">
            <v>Medium</v>
          </cell>
          <cell r="AB1835">
            <v>2</v>
          </cell>
        </row>
        <row r="1836">
          <cell r="B1836" t="str">
            <v>Yogesh Raj</v>
          </cell>
          <cell r="I1836" t="str">
            <v>Wrong</v>
          </cell>
          <cell r="J1836">
            <v>1.1299999999999999</v>
          </cell>
          <cell r="K1836" t="str">
            <v>Medium</v>
          </cell>
          <cell r="AB1836">
            <v>0</v>
          </cell>
        </row>
        <row r="1837">
          <cell r="B1837" t="str">
            <v>Yogesh Raj</v>
          </cell>
          <cell r="I1837" t="str">
            <v>Correct</v>
          </cell>
          <cell r="J1837">
            <v>1.48</v>
          </cell>
          <cell r="K1837" t="str">
            <v>High</v>
          </cell>
          <cell r="AB1837">
            <v>3</v>
          </cell>
        </row>
        <row r="1838">
          <cell r="B1838" t="str">
            <v>Yogesh Raj</v>
          </cell>
          <cell r="I1838" t="str">
            <v>Wrong</v>
          </cell>
          <cell r="J1838">
            <v>2.2400000000000002</v>
          </cell>
          <cell r="K1838" t="str">
            <v>High</v>
          </cell>
          <cell r="AB1838">
            <v>0</v>
          </cell>
        </row>
        <row r="1839">
          <cell r="B1839" t="str">
            <v>Yogesh Raj</v>
          </cell>
          <cell r="I1839" t="str">
            <v>Wrong</v>
          </cell>
          <cell r="J1839">
            <v>1.22</v>
          </cell>
          <cell r="K1839" t="str">
            <v>High</v>
          </cell>
          <cell r="AB1839">
            <v>0</v>
          </cell>
        </row>
        <row r="1840">
          <cell r="B1840" t="str">
            <v>Yogesh Raj</v>
          </cell>
          <cell r="I1840" t="str">
            <v>Wrong</v>
          </cell>
          <cell r="J1840">
            <v>1.55</v>
          </cell>
          <cell r="K1840" t="str">
            <v>High</v>
          </cell>
          <cell r="AB1840">
            <v>0</v>
          </cell>
        </row>
        <row r="1841">
          <cell r="B1841" t="str">
            <v>Yogesh Raj</v>
          </cell>
          <cell r="I1841" t="str">
            <v>Wrong</v>
          </cell>
          <cell r="J1841">
            <v>1.29</v>
          </cell>
          <cell r="K1841" t="str">
            <v>High</v>
          </cell>
          <cell r="AB1841">
            <v>0</v>
          </cell>
        </row>
        <row r="1842">
          <cell r="B1842" t="str">
            <v>Aarthi S</v>
          </cell>
          <cell r="I1842" t="str">
            <v>Correct</v>
          </cell>
          <cell r="J1842">
            <v>1.77</v>
          </cell>
          <cell r="K1842" t="str">
            <v>Low</v>
          </cell>
          <cell r="AB1842">
            <v>1.69</v>
          </cell>
        </row>
        <row r="1843">
          <cell r="B1843" t="str">
            <v>Aarthi S</v>
          </cell>
          <cell r="I1843" t="str">
            <v>Wrong</v>
          </cell>
          <cell r="J1843">
            <v>0.95</v>
          </cell>
          <cell r="K1843" t="str">
            <v>Low</v>
          </cell>
          <cell r="AB1843">
            <v>0</v>
          </cell>
        </row>
        <row r="1844">
          <cell r="B1844" t="str">
            <v>Aarthi S</v>
          </cell>
          <cell r="I1844" t="str">
            <v>Correct</v>
          </cell>
          <cell r="J1844">
            <v>1.62</v>
          </cell>
          <cell r="K1844" t="str">
            <v>Low</v>
          </cell>
          <cell r="AB1844">
            <v>1.85</v>
          </cell>
        </row>
        <row r="1845">
          <cell r="B1845" t="str">
            <v>Aarthi S</v>
          </cell>
          <cell r="I1845" t="str">
            <v>Wrong</v>
          </cell>
          <cell r="J1845">
            <v>1.68</v>
          </cell>
          <cell r="K1845" t="str">
            <v>Low</v>
          </cell>
          <cell r="AB1845">
            <v>0</v>
          </cell>
        </row>
        <row r="1846">
          <cell r="B1846" t="str">
            <v>Aarthi S</v>
          </cell>
          <cell r="I1846" t="str">
            <v>Correct</v>
          </cell>
          <cell r="J1846">
            <v>1.84</v>
          </cell>
          <cell r="K1846" t="str">
            <v>Low</v>
          </cell>
          <cell r="AB1846">
            <v>0.82</v>
          </cell>
        </row>
        <row r="1847">
          <cell r="B1847" t="str">
            <v>Aarthi S</v>
          </cell>
          <cell r="I1847" t="str">
            <v>Correct</v>
          </cell>
          <cell r="J1847">
            <v>1.64</v>
          </cell>
          <cell r="K1847" t="str">
            <v>Low</v>
          </cell>
          <cell r="AB1847">
            <v>1.83</v>
          </cell>
        </row>
        <row r="1848">
          <cell r="B1848" t="str">
            <v>Aarthi S</v>
          </cell>
          <cell r="I1848" t="str">
            <v>Wrong</v>
          </cell>
          <cell r="J1848">
            <v>1.95</v>
          </cell>
          <cell r="K1848" t="str">
            <v>Low</v>
          </cell>
          <cell r="AB1848">
            <v>0</v>
          </cell>
        </row>
        <row r="1849">
          <cell r="B1849" t="str">
            <v>Aarthi S</v>
          </cell>
          <cell r="I1849" t="str">
            <v>Correct</v>
          </cell>
          <cell r="J1849">
            <v>1.02</v>
          </cell>
          <cell r="K1849" t="str">
            <v>Low</v>
          </cell>
          <cell r="AB1849">
            <v>2</v>
          </cell>
        </row>
        <row r="1850">
          <cell r="B1850" t="str">
            <v>Aarthi S</v>
          </cell>
          <cell r="I1850" t="str">
            <v>Wrong</v>
          </cell>
          <cell r="J1850">
            <v>1.7</v>
          </cell>
          <cell r="K1850" t="str">
            <v>Low</v>
          </cell>
          <cell r="AB1850">
            <v>0</v>
          </cell>
        </row>
        <row r="1851">
          <cell r="B1851" t="str">
            <v>Aarthi S</v>
          </cell>
          <cell r="I1851" t="str">
            <v>Correct</v>
          </cell>
          <cell r="J1851">
            <v>1.86</v>
          </cell>
          <cell r="K1851" t="str">
            <v>Medium</v>
          </cell>
          <cell r="AB1851">
            <v>1.94</v>
          </cell>
        </row>
        <row r="1852">
          <cell r="B1852" t="str">
            <v>Aarthi S</v>
          </cell>
          <cell r="I1852" t="str">
            <v>Wrong</v>
          </cell>
          <cell r="J1852">
            <v>2.2400000000000002</v>
          </cell>
          <cell r="K1852" t="str">
            <v>Medium</v>
          </cell>
          <cell r="AB1852">
            <v>0</v>
          </cell>
        </row>
        <row r="1853">
          <cell r="B1853" t="str">
            <v>Aarthi S</v>
          </cell>
          <cell r="I1853" t="str">
            <v>Wrong</v>
          </cell>
          <cell r="J1853">
            <v>1.48</v>
          </cell>
          <cell r="K1853" t="str">
            <v>Medium</v>
          </cell>
          <cell r="AB1853">
            <v>0</v>
          </cell>
        </row>
        <row r="1854">
          <cell r="B1854" t="str">
            <v>Aarthi S</v>
          </cell>
          <cell r="I1854" t="str">
            <v>Correct</v>
          </cell>
          <cell r="J1854">
            <v>1.71</v>
          </cell>
          <cell r="K1854" t="str">
            <v>Medium</v>
          </cell>
          <cell r="AB1854">
            <v>2</v>
          </cell>
        </row>
        <row r="1855">
          <cell r="B1855" t="str">
            <v>Aarthi S</v>
          </cell>
          <cell r="I1855" t="str">
            <v>Wrong</v>
          </cell>
          <cell r="J1855">
            <v>2.04</v>
          </cell>
          <cell r="K1855" t="str">
            <v>Medium</v>
          </cell>
          <cell r="AB1855">
            <v>0</v>
          </cell>
        </row>
        <row r="1856">
          <cell r="B1856" t="str">
            <v>Aarthi S</v>
          </cell>
          <cell r="I1856" t="str">
            <v>Wrong</v>
          </cell>
          <cell r="J1856">
            <v>1.5</v>
          </cell>
          <cell r="K1856" t="str">
            <v>Medium</v>
          </cell>
          <cell r="AB1856">
            <v>0</v>
          </cell>
        </row>
        <row r="1857">
          <cell r="B1857" t="str">
            <v>Aarthi S</v>
          </cell>
          <cell r="I1857" t="str">
            <v>Wrong</v>
          </cell>
          <cell r="J1857">
            <v>2.2000000000000002</v>
          </cell>
          <cell r="K1857" t="str">
            <v>High</v>
          </cell>
          <cell r="AB1857">
            <v>0</v>
          </cell>
        </row>
        <row r="1858">
          <cell r="B1858" t="str">
            <v>Aarthi S</v>
          </cell>
          <cell r="I1858" t="str">
            <v>Wrong</v>
          </cell>
          <cell r="J1858">
            <v>1.7</v>
          </cell>
          <cell r="K1858" t="str">
            <v>High</v>
          </cell>
          <cell r="AB1858">
            <v>0</v>
          </cell>
        </row>
        <row r="1859">
          <cell r="B1859" t="str">
            <v>Aarthi S</v>
          </cell>
          <cell r="I1859" t="str">
            <v>Wrong</v>
          </cell>
          <cell r="J1859">
            <v>1.7</v>
          </cell>
          <cell r="K1859" t="str">
            <v>High</v>
          </cell>
          <cell r="AB1859">
            <v>0</v>
          </cell>
        </row>
        <row r="1860">
          <cell r="B1860" t="str">
            <v>Aarthi S</v>
          </cell>
          <cell r="I1860" t="str">
            <v>Wrong</v>
          </cell>
          <cell r="J1860">
            <v>2.09</v>
          </cell>
          <cell r="K1860" t="str">
            <v>High</v>
          </cell>
          <cell r="AB1860">
            <v>0</v>
          </cell>
        </row>
        <row r="1861">
          <cell r="B1861" t="str">
            <v>Aarthi S</v>
          </cell>
          <cell r="I1861" t="str">
            <v>Correct</v>
          </cell>
          <cell r="J1861">
            <v>1.56</v>
          </cell>
          <cell r="K1861" t="str">
            <v>High</v>
          </cell>
          <cell r="AB1861">
            <v>3</v>
          </cell>
        </row>
        <row r="1862">
          <cell r="B1862" t="str">
            <v>Bhuvaneshwari M</v>
          </cell>
          <cell r="I1862" t="str">
            <v>Correct</v>
          </cell>
          <cell r="J1862">
            <v>1.97</v>
          </cell>
          <cell r="K1862" t="str">
            <v>Low</v>
          </cell>
          <cell r="AB1862">
            <v>1.52</v>
          </cell>
        </row>
        <row r="1863">
          <cell r="B1863" t="str">
            <v>Bhuvaneshwari M</v>
          </cell>
          <cell r="I1863" t="str">
            <v>Correct</v>
          </cell>
          <cell r="J1863">
            <v>1.07</v>
          </cell>
          <cell r="K1863" t="str">
            <v>Low</v>
          </cell>
          <cell r="AB1863">
            <v>1</v>
          </cell>
        </row>
        <row r="1864">
          <cell r="B1864" t="str">
            <v>Bhuvaneshwari M</v>
          </cell>
          <cell r="I1864" t="str">
            <v>Wrong</v>
          </cell>
          <cell r="J1864">
            <v>1.94</v>
          </cell>
          <cell r="K1864" t="str">
            <v>Low</v>
          </cell>
          <cell r="AB1864">
            <v>0</v>
          </cell>
        </row>
        <row r="1865">
          <cell r="B1865" t="str">
            <v>Bhuvaneshwari M</v>
          </cell>
          <cell r="I1865" t="str">
            <v>Correct</v>
          </cell>
          <cell r="J1865">
            <v>1.0900000000000001</v>
          </cell>
          <cell r="K1865" t="str">
            <v>Low</v>
          </cell>
          <cell r="AB1865">
            <v>1</v>
          </cell>
        </row>
        <row r="1866">
          <cell r="B1866" t="str">
            <v>Bhuvaneshwari M</v>
          </cell>
          <cell r="I1866" t="str">
            <v>Wrong</v>
          </cell>
          <cell r="J1866">
            <v>1.64</v>
          </cell>
          <cell r="K1866" t="str">
            <v>Low</v>
          </cell>
          <cell r="AB1866">
            <v>0</v>
          </cell>
        </row>
        <row r="1867">
          <cell r="B1867" t="str">
            <v>Bhuvaneshwari M</v>
          </cell>
          <cell r="I1867" t="str">
            <v>Correct</v>
          </cell>
          <cell r="J1867">
            <v>1.67</v>
          </cell>
          <cell r="K1867" t="str">
            <v>Low</v>
          </cell>
          <cell r="AB1867">
            <v>1.8</v>
          </cell>
        </row>
        <row r="1868">
          <cell r="B1868" t="str">
            <v>Bhuvaneshwari M</v>
          </cell>
          <cell r="I1868" t="str">
            <v>Wrong</v>
          </cell>
          <cell r="J1868">
            <v>1.93</v>
          </cell>
          <cell r="K1868" t="str">
            <v>Low</v>
          </cell>
          <cell r="AB1868">
            <v>0</v>
          </cell>
        </row>
        <row r="1869">
          <cell r="B1869" t="str">
            <v>Bhuvaneshwari M</v>
          </cell>
          <cell r="I1869" t="str">
            <v>Correct</v>
          </cell>
          <cell r="J1869">
            <v>1.41</v>
          </cell>
          <cell r="K1869" t="str">
            <v>Low</v>
          </cell>
          <cell r="AB1869">
            <v>2</v>
          </cell>
        </row>
        <row r="1870">
          <cell r="B1870" t="str">
            <v>Bhuvaneshwari M</v>
          </cell>
          <cell r="I1870" t="str">
            <v>Correct</v>
          </cell>
          <cell r="J1870">
            <v>1.45</v>
          </cell>
          <cell r="K1870" t="str">
            <v>Low</v>
          </cell>
          <cell r="AB1870">
            <v>2</v>
          </cell>
        </row>
        <row r="1871">
          <cell r="B1871" t="str">
            <v>Bhuvaneshwari M</v>
          </cell>
          <cell r="I1871" t="str">
            <v>Correct</v>
          </cell>
          <cell r="J1871">
            <v>1.39</v>
          </cell>
          <cell r="K1871" t="str">
            <v>Medium</v>
          </cell>
          <cell r="AB1871">
            <v>2</v>
          </cell>
        </row>
        <row r="1872">
          <cell r="B1872" t="str">
            <v>Bhuvaneshwari M</v>
          </cell>
          <cell r="I1872" t="str">
            <v>Correct</v>
          </cell>
          <cell r="J1872">
            <v>1.82</v>
          </cell>
          <cell r="K1872" t="str">
            <v>Medium</v>
          </cell>
          <cell r="AB1872">
            <v>1.98</v>
          </cell>
        </row>
        <row r="1873">
          <cell r="B1873" t="str">
            <v>Bhuvaneshwari M</v>
          </cell>
          <cell r="I1873" t="str">
            <v>Correct</v>
          </cell>
          <cell r="J1873">
            <v>1.23</v>
          </cell>
          <cell r="K1873" t="str">
            <v>Medium</v>
          </cell>
          <cell r="AB1873">
            <v>2</v>
          </cell>
        </row>
        <row r="1874">
          <cell r="B1874" t="str">
            <v>Bhuvaneshwari M</v>
          </cell>
          <cell r="I1874" t="str">
            <v>Correct</v>
          </cell>
          <cell r="J1874">
            <v>1.26</v>
          </cell>
          <cell r="K1874" t="str">
            <v>Medium</v>
          </cell>
          <cell r="AB1874">
            <v>2</v>
          </cell>
        </row>
        <row r="1875">
          <cell r="B1875" t="str">
            <v>Bhuvaneshwari M</v>
          </cell>
          <cell r="I1875" t="str">
            <v>Wrong</v>
          </cell>
          <cell r="J1875">
            <v>1.53</v>
          </cell>
          <cell r="K1875" t="str">
            <v>Medium</v>
          </cell>
          <cell r="AB1875">
            <v>0</v>
          </cell>
        </row>
        <row r="1876">
          <cell r="B1876" t="str">
            <v>Bhuvaneshwari M</v>
          </cell>
          <cell r="I1876" t="str">
            <v>Wrong</v>
          </cell>
          <cell r="J1876">
            <v>1.68</v>
          </cell>
          <cell r="K1876" t="str">
            <v>Medium</v>
          </cell>
          <cell r="AB1876">
            <v>0</v>
          </cell>
        </row>
        <row r="1877">
          <cell r="B1877" t="str">
            <v>Bhuvaneshwari M</v>
          </cell>
          <cell r="I1877" t="str">
            <v>Correct</v>
          </cell>
          <cell r="J1877">
            <v>2.36</v>
          </cell>
          <cell r="K1877" t="str">
            <v>High</v>
          </cell>
          <cell r="AB1877">
            <v>2.54</v>
          </cell>
        </row>
        <row r="1878">
          <cell r="B1878" t="str">
            <v>Bhuvaneshwari M</v>
          </cell>
          <cell r="I1878" t="str">
            <v>Correct</v>
          </cell>
          <cell r="J1878">
            <v>2.5099999999999998</v>
          </cell>
          <cell r="K1878" t="str">
            <v>High</v>
          </cell>
          <cell r="AB1878">
            <v>2.39</v>
          </cell>
        </row>
        <row r="1879">
          <cell r="B1879" t="str">
            <v>Bhuvaneshwari M</v>
          </cell>
          <cell r="I1879" t="str">
            <v>Wrong</v>
          </cell>
          <cell r="J1879">
            <v>1.69</v>
          </cell>
          <cell r="K1879" t="str">
            <v>High</v>
          </cell>
          <cell r="AB1879">
            <v>0</v>
          </cell>
        </row>
        <row r="1880">
          <cell r="B1880" t="str">
            <v>Bhuvaneshwari M</v>
          </cell>
          <cell r="I1880" t="str">
            <v>Wrong</v>
          </cell>
          <cell r="J1880">
            <v>2.09</v>
          </cell>
          <cell r="K1880" t="str">
            <v>High</v>
          </cell>
          <cell r="AB1880">
            <v>0</v>
          </cell>
        </row>
        <row r="1881">
          <cell r="B1881" t="str">
            <v>Bhuvaneshwari M</v>
          </cell>
          <cell r="I1881" t="str">
            <v>Wrong</v>
          </cell>
          <cell r="J1881">
            <v>2.09</v>
          </cell>
          <cell r="K1881" t="str">
            <v>High</v>
          </cell>
          <cell r="AB1881">
            <v>0</v>
          </cell>
        </row>
        <row r="1882">
          <cell r="B1882" t="str">
            <v>Christopher J</v>
          </cell>
          <cell r="I1882" t="str">
            <v>Wrong</v>
          </cell>
          <cell r="J1882">
            <v>1.79</v>
          </cell>
          <cell r="K1882" t="str">
            <v>Low</v>
          </cell>
          <cell r="AB1882">
            <v>0</v>
          </cell>
        </row>
        <row r="1883">
          <cell r="B1883" t="str">
            <v>Christopher J</v>
          </cell>
          <cell r="I1883" t="str">
            <v>Wrong</v>
          </cell>
          <cell r="J1883">
            <v>1.21</v>
          </cell>
          <cell r="K1883" t="str">
            <v>Low</v>
          </cell>
          <cell r="AB1883">
            <v>0</v>
          </cell>
        </row>
        <row r="1884">
          <cell r="B1884" t="str">
            <v>Christopher J</v>
          </cell>
          <cell r="I1884" t="str">
            <v>Correct</v>
          </cell>
          <cell r="J1884">
            <v>1.62</v>
          </cell>
          <cell r="K1884" t="str">
            <v>Low</v>
          </cell>
          <cell r="AB1884">
            <v>1.85</v>
          </cell>
        </row>
        <row r="1885">
          <cell r="B1885" t="str">
            <v>Christopher J</v>
          </cell>
          <cell r="I1885" t="str">
            <v>Correct</v>
          </cell>
          <cell r="J1885">
            <v>1.24</v>
          </cell>
          <cell r="K1885" t="str">
            <v>Low</v>
          </cell>
          <cell r="AB1885">
            <v>1</v>
          </cell>
        </row>
        <row r="1886">
          <cell r="B1886" t="str">
            <v>Christopher J</v>
          </cell>
          <cell r="I1886" t="str">
            <v>Wrong</v>
          </cell>
          <cell r="J1886">
            <v>1.17</v>
          </cell>
          <cell r="K1886" t="str">
            <v>Low</v>
          </cell>
          <cell r="AB1886">
            <v>0</v>
          </cell>
        </row>
        <row r="1887">
          <cell r="B1887" t="str">
            <v>Christopher J</v>
          </cell>
          <cell r="I1887" t="str">
            <v>Wrong</v>
          </cell>
          <cell r="J1887">
            <v>1.59</v>
          </cell>
          <cell r="K1887" t="str">
            <v>Low</v>
          </cell>
          <cell r="AB1887">
            <v>0</v>
          </cell>
        </row>
        <row r="1888">
          <cell r="B1888" t="str">
            <v>Christopher J</v>
          </cell>
          <cell r="I1888" t="str">
            <v>Correct</v>
          </cell>
          <cell r="J1888">
            <v>1.04</v>
          </cell>
          <cell r="K1888" t="str">
            <v>Low</v>
          </cell>
          <cell r="AB1888">
            <v>1</v>
          </cell>
        </row>
        <row r="1889">
          <cell r="B1889" t="str">
            <v>Christopher J</v>
          </cell>
          <cell r="I1889" t="str">
            <v>Wrong</v>
          </cell>
          <cell r="J1889">
            <v>1.67</v>
          </cell>
          <cell r="K1889" t="str">
            <v>Low</v>
          </cell>
          <cell r="AB1889">
            <v>0</v>
          </cell>
        </row>
        <row r="1890">
          <cell r="B1890" t="str">
            <v>Christopher J</v>
          </cell>
          <cell r="I1890" t="str">
            <v>Correct</v>
          </cell>
          <cell r="J1890">
            <v>1.23</v>
          </cell>
          <cell r="K1890" t="str">
            <v>Low</v>
          </cell>
          <cell r="AB1890">
            <v>2</v>
          </cell>
        </row>
        <row r="1891">
          <cell r="B1891" t="str">
            <v>Christopher J</v>
          </cell>
          <cell r="I1891" t="str">
            <v>Wrong</v>
          </cell>
          <cell r="J1891">
            <v>1.92</v>
          </cell>
          <cell r="K1891" t="str">
            <v>Medium</v>
          </cell>
          <cell r="AB1891">
            <v>0</v>
          </cell>
        </row>
        <row r="1892">
          <cell r="B1892" t="str">
            <v>Christopher J</v>
          </cell>
          <cell r="I1892" t="str">
            <v>Wrong</v>
          </cell>
          <cell r="J1892">
            <v>1.51</v>
          </cell>
          <cell r="K1892" t="str">
            <v>Medium</v>
          </cell>
          <cell r="AB1892">
            <v>0</v>
          </cell>
        </row>
        <row r="1893">
          <cell r="B1893" t="str">
            <v>Christopher J</v>
          </cell>
          <cell r="I1893" t="str">
            <v>Correct</v>
          </cell>
          <cell r="J1893">
            <v>1.32</v>
          </cell>
          <cell r="K1893" t="str">
            <v>Medium</v>
          </cell>
          <cell r="AB1893">
            <v>2</v>
          </cell>
        </row>
        <row r="1894">
          <cell r="B1894" t="str">
            <v>Christopher J</v>
          </cell>
          <cell r="I1894" t="str">
            <v>Correct</v>
          </cell>
          <cell r="J1894">
            <v>1.87</v>
          </cell>
          <cell r="K1894" t="str">
            <v>Medium</v>
          </cell>
          <cell r="AB1894">
            <v>1.93</v>
          </cell>
        </row>
        <row r="1895">
          <cell r="B1895" t="str">
            <v>Christopher J</v>
          </cell>
          <cell r="I1895" t="str">
            <v>Wrong</v>
          </cell>
          <cell r="J1895">
            <v>1.79</v>
          </cell>
          <cell r="K1895" t="str">
            <v>Medium</v>
          </cell>
          <cell r="AB1895">
            <v>0</v>
          </cell>
        </row>
        <row r="1896">
          <cell r="B1896" t="str">
            <v>Christopher J</v>
          </cell>
          <cell r="I1896" t="str">
            <v>Correct</v>
          </cell>
          <cell r="J1896">
            <v>1.67</v>
          </cell>
          <cell r="K1896" t="str">
            <v>Medium</v>
          </cell>
          <cell r="AB1896">
            <v>2</v>
          </cell>
        </row>
        <row r="1897">
          <cell r="B1897" t="str">
            <v>Christopher J</v>
          </cell>
          <cell r="I1897" t="str">
            <v>Wrong</v>
          </cell>
          <cell r="J1897">
            <v>1.65</v>
          </cell>
          <cell r="K1897" t="str">
            <v>High</v>
          </cell>
          <cell r="AB1897">
            <v>0</v>
          </cell>
        </row>
        <row r="1898">
          <cell r="B1898" t="str">
            <v>Christopher J</v>
          </cell>
          <cell r="I1898" t="str">
            <v>Correct</v>
          </cell>
          <cell r="J1898">
            <v>1.9</v>
          </cell>
          <cell r="K1898" t="str">
            <v>High</v>
          </cell>
          <cell r="AB1898">
            <v>3</v>
          </cell>
        </row>
        <row r="1899">
          <cell r="B1899" t="str">
            <v>Christopher J</v>
          </cell>
          <cell r="I1899" t="str">
            <v>Correct</v>
          </cell>
          <cell r="J1899">
            <v>1.8</v>
          </cell>
          <cell r="K1899" t="str">
            <v>High</v>
          </cell>
          <cell r="AB1899">
            <v>3</v>
          </cell>
        </row>
        <row r="1900">
          <cell r="B1900" t="str">
            <v>Christopher J</v>
          </cell>
          <cell r="I1900" t="str">
            <v>Wrong</v>
          </cell>
          <cell r="J1900">
            <v>2.1</v>
          </cell>
          <cell r="K1900" t="str">
            <v>High</v>
          </cell>
          <cell r="AB1900">
            <v>0</v>
          </cell>
        </row>
        <row r="1901">
          <cell r="B1901" t="str">
            <v>Christopher J</v>
          </cell>
          <cell r="I1901" t="str">
            <v>Wrong</v>
          </cell>
          <cell r="J1901">
            <v>1.76</v>
          </cell>
          <cell r="K1901" t="str">
            <v>High</v>
          </cell>
          <cell r="AB1901">
            <v>0</v>
          </cell>
        </row>
        <row r="1902">
          <cell r="B1902" t="str">
            <v>Ajay Kumar</v>
          </cell>
          <cell r="I1902" t="str">
            <v>Correct</v>
          </cell>
          <cell r="J1902">
            <v>1.54</v>
          </cell>
          <cell r="K1902" t="str">
            <v>Low</v>
          </cell>
          <cell r="AB1902">
            <v>1.95</v>
          </cell>
        </row>
        <row r="1903">
          <cell r="B1903" t="str">
            <v>Ajay Kumar</v>
          </cell>
          <cell r="I1903" t="str">
            <v>Correct</v>
          </cell>
          <cell r="J1903">
            <v>1.01</v>
          </cell>
          <cell r="K1903" t="str">
            <v>Low</v>
          </cell>
          <cell r="AB1903">
            <v>1</v>
          </cell>
        </row>
        <row r="1904">
          <cell r="B1904" t="str">
            <v>Ajay Kumar</v>
          </cell>
          <cell r="I1904" t="str">
            <v>Correct</v>
          </cell>
          <cell r="J1904">
            <v>1.79</v>
          </cell>
          <cell r="K1904" t="str">
            <v>Low</v>
          </cell>
          <cell r="AB1904">
            <v>1.68</v>
          </cell>
        </row>
        <row r="1905">
          <cell r="B1905" t="str">
            <v>Ajay Kumar</v>
          </cell>
          <cell r="I1905" t="str">
            <v>Wrong</v>
          </cell>
          <cell r="J1905">
            <v>1.8</v>
          </cell>
          <cell r="K1905" t="str">
            <v>Low</v>
          </cell>
          <cell r="AB1905">
            <v>0</v>
          </cell>
        </row>
        <row r="1906">
          <cell r="B1906" t="str">
            <v>Ajay Kumar</v>
          </cell>
          <cell r="I1906" t="str">
            <v>Correct</v>
          </cell>
          <cell r="J1906">
            <v>1.72</v>
          </cell>
          <cell r="K1906" t="str">
            <v>Low</v>
          </cell>
          <cell r="AB1906">
            <v>0.87</v>
          </cell>
        </row>
        <row r="1907">
          <cell r="B1907" t="str">
            <v>Ajay Kumar</v>
          </cell>
          <cell r="I1907" t="str">
            <v>Wrong</v>
          </cell>
          <cell r="J1907">
            <v>0.98</v>
          </cell>
          <cell r="K1907" t="str">
            <v>Low</v>
          </cell>
          <cell r="AB1907">
            <v>0</v>
          </cell>
        </row>
        <row r="1908">
          <cell r="B1908" t="str">
            <v>Ajay Kumar</v>
          </cell>
          <cell r="I1908" t="str">
            <v>Wrong</v>
          </cell>
          <cell r="J1908">
            <v>1.78</v>
          </cell>
          <cell r="K1908" t="str">
            <v>Low</v>
          </cell>
          <cell r="AB1908">
            <v>0</v>
          </cell>
        </row>
        <row r="1909">
          <cell r="B1909" t="str">
            <v>Ajay Kumar</v>
          </cell>
          <cell r="I1909" t="str">
            <v>Wrong</v>
          </cell>
          <cell r="J1909">
            <v>1.95</v>
          </cell>
          <cell r="K1909" t="str">
            <v>Low</v>
          </cell>
          <cell r="AB1909">
            <v>0</v>
          </cell>
        </row>
        <row r="1910">
          <cell r="B1910" t="str">
            <v>Ajay Kumar</v>
          </cell>
          <cell r="I1910" t="str">
            <v>Correct</v>
          </cell>
          <cell r="J1910">
            <v>0.96</v>
          </cell>
          <cell r="K1910" t="str">
            <v>Low</v>
          </cell>
          <cell r="AB1910">
            <v>2</v>
          </cell>
        </row>
        <row r="1911">
          <cell r="B1911" t="str">
            <v>Ajay Kumar</v>
          </cell>
          <cell r="I1911" t="str">
            <v>Correct</v>
          </cell>
          <cell r="J1911">
            <v>1.1399999999999999</v>
          </cell>
          <cell r="K1911" t="str">
            <v>Medium</v>
          </cell>
          <cell r="AB1911">
            <v>2</v>
          </cell>
        </row>
        <row r="1912">
          <cell r="B1912" t="str">
            <v>Ajay Kumar</v>
          </cell>
          <cell r="I1912" t="str">
            <v>Wrong</v>
          </cell>
          <cell r="J1912">
            <v>1.51</v>
          </cell>
          <cell r="K1912" t="str">
            <v>Medium</v>
          </cell>
          <cell r="AB1912">
            <v>0</v>
          </cell>
        </row>
        <row r="1913">
          <cell r="B1913" t="str">
            <v>Ajay Kumar</v>
          </cell>
          <cell r="I1913" t="str">
            <v>Correct</v>
          </cell>
          <cell r="J1913">
            <v>2.14</v>
          </cell>
          <cell r="K1913" t="str">
            <v>Medium</v>
          </cell>
          <cell r="AB1913">
            <v>1.68</v>
          </cell>
        </row>
        <row r="1914">
          <cell r="B1914" t="str">
            <v>Ajay Kumar</v>
          </cell>
          <cell r="I1914" t="str">
            <v>Correct</v>
          </cell>
          <cell r="J1914">
            <v>1.39</v>
          </cell>
          <cell r="K1914" t="str">
            <v>Medium</v>
          </cell>
          <cell r="AB1914">
            <v>2</v>
          </cell>
        </row>
        <row r="1915">
          <cell r="B1915" t="str">
            <v>Ajay Kumar</v>
          </cell>
          <cell r="I1915" t="str">
            <v>Correct</v>
          </cell>
          <cell r="J1915">
            <v>1.76</v>
          </cell>
          <cell r="K1915" t="str">
            <v>Medium</v>
          </cell>
          <cell r="AB1915">
            <v>2</v>
          </cell>
        </row>
        <row r="1916">
          <cell r="B1916" t="str">
            <v>Ajay Kumar</v>
          </cell>
          <cell r="I1916" t="str">
            <v>Wrong</v>
          </cell>
          <cell r="J1916">
            <v>1.18</v>
          </cell>
          <cell r="K1916" t="str">
            <v>Medium</v>
          </cell>
          <cell r="AB1916">
            <v>0</v>
          </cell>
        </row>
        <row r="1917">
          <cell r="B1917" t="str">
            <v>Ajay Kumar</v>
          </cell>
          <cell r="I1917" t="str">
            <v>Wrong</v>
          </cell>
          <cell r="J1917">
            <v>1.21</v>
          </cell>
          <cell r="K1917" t="str">
            <v>High</v>
          </cell>
          <cell r="AB1917">
            <v>0</v>
          </cell>
        </row>
        <row r="1918">
          <cell r="B1918" t="str">
            <v>Ajay Kumar</v>
          </cell>
          <cell r="I1918" t="str">
            <v>Wrong</v>
          </cell>
          <cell r="J1918">
            <v>2.38</v>
          </cell>
          <cell r="K1918" t="str">
            <v>High</v>
          </cell>
          <cell r="AB1918">
            <v>0</v>
          </cell>
        </row>
        <row r="1919">
          <cell r="B1919" t="str">
            <v>Ajay Kumar</v>
          </cell>
          <cell r="I1919" t="str">
            <v>Correct</v>
          </cell>
          <cell r="J1919">
            <v>1.43</v>
          </cell>
          <cell r="K1919" t="str">
            <v>High</v>
          </cell>
          <cell r="AB1919">
            <v>3</v>
          </cell>
        </row>
        <row r="1920">
          <cell r="B1920" t="str">
            <v>Ajay Kumar</v>
          </cell>
          <cell r="I1920" t="str">
            <v>Wrong</v>
          </cell>
          <cell r="J1920">
            <v>1.69</v>
          </cell>
          <cell r="K1920" t="str">
            <v>High</v>
          </cell>
          <cell r="AB1920">
            <v>0</v>
          </cell>
        </row>
        <row r="1921">
          <cell r="B1921" t="str">
            <v>Ajay Kumar</v>
          </cell>
          <cell r="I1921" t="str">
            <v>Wrong</v>
          </cell>
          <cell r="J1921">
            <v>2.2999999999999998</v>
          </cell>
          <cell r="K1921" t="str">
            <v>High</v>
          </cell>
          <cell r="AB1921">
            <v>0</v>
          </cell>
        </row>
        <row r="1922">
          <cell r="B1922" t="str">
            <v>Bhargavi R</v>
          </cell>
          <cell r="I1922" t="str">
            <v>Correct</v>
          </cell>
          <cell r="J1922">
            <v>1.25</v>
          </cell>
          <cell r="K1922" t="str">
            <v>Low</v>
          </cell>
          <cell r="AB1922">
            <v>2</v>
          </cell>
        </row>
        <row r="1923">
          <cell r="B1923" t="str">
            <v>Bhargavi R</v>
          </cell>
          <cell r="I1923" t="str">
            <v>Correct</v>
          </cell>
          <cell r="J1923">
            <v>1.78</v>
          </cell>
          <cell r="K1923" t="str">
            <v>Low</v>
          </cell>
          <cell r="AB1923">
            <v>0.84</v>
          </cell>
        </row>
        <row r="1924">
          <cell r="B1924" t="str">
            <v>Bhargavi R</v>
          </cell>
          <cell r="I1924" t="str">
            <v>Correct</v>
          </cell>
          <cell r="J1924">
            <v>1.46</v>
          </cell>
          <cell r="K1924" t="str">
            <v>Low</v>
          </cell>
          <cell r="AB1924">
            <v>2</v>
          </cell>
        </row>
        <row r="1925">
          <cell r="B1925" t="str">
            <v>Bhargavi R</v>
          </cell>
          <cell r="I1925" t="str">
            <v>Correct</v>
          </cell>
          <cell r="J1925">
            <v>1.53</v>
          </cell>
          <cell r="K1925" t="str">
            <v>Low</v>
          </cell>
          <cell r="AB1925">
            <v>0.98</v>
          </cell>
        </row>
        <row r="1926">
          <cell r="B1926" t="str">
            <v>Bhargavi R</v>
          </cell>
          <cell r="I1926" t="str">
            <v>Correct</v>
          </cell>
          <cell r="J1926">
            <v>1.67</v>
          </cell>
          <cell r="K1926" t="str">
            <v>Low</v>
          </cell>
          <cell r="AB1926">
            <v>0.9</v>
          </cell>
        </row>
        <row r="1927">
          <cell r="B1927" t="str">
            <v>Bhargavi R</v>
          </cell>
          <cell r="I1927" t="str">
            <v>Wrong</v>
          </cell>
          <cell r="J1927">
            <v>1.22</v>
          </cell>
          <cell r="K1927" t="str">
            <v>Low</v>
          </cell>
          <cell r="AB1927">
            <v>0</v>
          </cell>
        </row>
        <row r="1928">
          <cell r="B1928" t="str">
            <v>Bhargavi R</v>
          </cell>
          <cell r="I1928" t="str">
            <v>Correct</v>
          </cell>
          <cell r="J1928">
            <v>1.44</v>
          </cell>
          <cell r="K1928" t="str">
            <v>Low</v>
          </cell>
          <cell r="AB1928">
            <v>1</v>
          </cell>
        </row>
        <row r="1929">
          <cell r="B1929" t="str">
            <v>Bhargavi R</v>
          </cell>
          <cell r="I1929" t="str">
            <v>Correct</v>
          </cell>
          <cell r="J1929">
            <v>1.08</v>
          </cell>
          <cell r="K1929" t="str">
            <v>Low</v>
          </cell>
          <cell r="AB1929">
            <v>2</v>
          </cell>
        </row>
        <row r="1930">
          <cell r="B1930" t="str">
            <v>Bhargavi R</v>
          </cell>
          <cell r="I1930" t="str">
            <v>Correct</v>
          </cell>
          <cell r="J1930">
            <v>1.18</v>
          </cell>
          <cell r="K1930" t="str">
            <v>Low</v>
          </cell>
          <cell r="AB1930">
            <v>2</v>
          </cell>
        </row>
        <row r="1931">
          <cell r="B1931" t="str">
            <v>Bhargavi R</v>
          </cell>
          <cell r="I1931" t="str">
            <v>Wrong</v>
          </cell>
          <cell r="J1931">
            <v>2.1800000000000002</v>
          </cell>
          <cell r="K1931" t="str">
            <v>Medium</v>
          </cell>
          <cell r="AB1931">
            <v>0</v>
          </cell>
        </row>
        <row r="1932">
          <cell r="B1932" t="str">
            <v>Bhargavi R</v>
          </cell>
          <cell r="I1932" t="str">
            <v>Correct</v>
          </cell>
          <cell r="J1932">
            <v>1.98</v>
          </cell>
          <cell r="K1932" t="str">
            <v>Medium</v>
          </cell>
          <cell r="AB1932">
            <v>1.82</v>
          </cell>
        </row>
        <row r="1933">
          <cell r="B1933" t="str">
            <v>Bhargavi R</v>
          </cell>
          <cell r="I1933" t="str">
            <v>Correct</v>
          </cell>
          <cell r="J1933">
            <v>1.51</v>
          </cell>
          <cell r="K1933" t="str">
            <v>Medium</v>
          </cell>
          <cell r="AB1933">
            <v>2</v>
          </cell>
        </row>
        <row r="1934">
          <cell r="B1934" t="str">
            <v>Bhargavi R</v>
          </cell>
          <cell r="I1934" t="str">
            <v>Correct</v>
          </cell>
          <cell r="J1934">
            <v>1.22</v>
          </cell>
          <cell r="K1934" t="str">
            <v>Medium</v>
          </cell>
          <cell r="AB1934">
            <v>2</v>
          </cell>
        </row>
        <row r="1935">
          <cell r="B1935" t="str">
            <v>Bhargavi R</v>
          </cell>
          <cell r="I1935" t="str">
            <v>Correct</v>
          </cell>
          <cell r="J1935">
            <v>1.1499999999999999</v>
          </cell>
          <cell r="K1935" t="str">
            <v>Medium</v>
          </cell>
          <cell r="AB1935">
            <v>2</v>
          </cell>
        </row>
        <row r="1936">
          <cell r="B1936" t="str">
            <v>Bhargavi R</v>
          </cell>
          <cell r="I1936" t="str">
            <v>Correct</v>
          </cell>
          <cell r="J1936">
            <v>2.1800000000000002</v>
          </cell>
          <cell r="K1936" t="str">
            <v>Medium</v>
          </cell>
          <cell r="AB1936">
            <v>1.65</v>
          </cell>
        </row>
        <row r="1937">
          <cell r="B1937" t="str">
            <v>Bhargavi R</v>
          </cell>
          <cell r="I1937" t="str">
            <v>Correct</v>
          </cell>
          <cell r="J1937">
            <v>2.2999999999999998</v>
          </cell>
          <cell r="K1937" t="str">
            <v>High</v>
          </cell>
          <cell r="AB1937">
            <v>2.61</v>
          </cell>
        </row>
        <row r="1938">
          <cell r="B1938" t="str">
            <v>Bhargavi R</v>
          </cell>
          <cell r="I1938" t="str">
            <v>Correct</v>
          </cell>
          <cell r="J1938">
            <v>2.04</v>
          </cell>
          <cell r="K1938" t="str">
            <v>High</v>
          </cell>
          <cell r="AB1938">
            <v>2.94</v>
          </cell>
        </row>
        <row r="1939">
          <cell r="B1939" t="str">
            <v>Bhargavi R</v>
          </cell>
          <cell r="I1939" t="str">
            <v>Wrong</v>
          </cell>
          <cell r="J1939">
            <v>1.8</v>
          </cell>
          <cell r="K1939" t="str">
            <v>High</v>
          </cell>
          <cell r="AB1939">
            <v>0</v>
          </cell>
        </row>
        <row r="1940">
          <cell r="B1940" t="str">
            <v>Bhargavi R</v>
          </cell>
          <cell r="I1940" t="str">
            <v>Wrong</v>
          </cell>
          <cell r="J1940">
            <v>1.33</v>
          </cell>
          <cell r="K1940" t="str">
            <v>High</v>
          </cell>
          <cell r="AB1940">
            <v>0</v>
          </cell>
        </row>
        <row r="1941">
          <cell r="B1941" t="str">
            <v>Bhargavi R</v>
          </cell>
          <cell r="I1941" t="str">
            <v>Wrong</v>
          </cell>
          <cell r="J1941">
            <v>2.08</v>
          </cell>
          <cell r="K1941" t="str">
            <v>High</v>
          </cell>
          <cell r="AB1941">
            <v>0</v>
          </cell>
        </row>
        <row r="1942">
          <cell r="B1942" t="str">
            <v>Chandru M</v>
          </cell>
          <cell r="I1942" t="str">
            <v>Wrong</v>
          </cell>
          <cell r="J1942">
            <v>0.99</v>
          </cell>
          <cell r="K1942" t="str">
            <v>Low</v>
          </cell>
          <cell r="AB1942">
            <v>0</v>
          </cell>
        </row>
        <row r="1943">
          <cell r="B1943" t="str">
            <v>Chandru M</v>
          </cell>
          <cell r="I1943" t="str">
            <v>Correct</v>
          </cell>
          <cell r="J1943">
            <v>1.96</v>
          </cell>
          <cell r="K1943" t="str">
            <v>Low</v>
          </cell>
          <cell r="AB1943">
            <v>0.77</v>
          </cell>
        </row>
        <row r="1944">
          <cell r="B1944" t="str">
            <v>Chandru M</v>
          </cell>
          <cell r="I1944" t="str">
            <v>Correct</v>
          </cell>
          <cell r="J1944">
            <v>1.36</v>
          </cell>
          <cell r="K1944" t="str">
            <v>Low</v>
          </cell>
          <cell r="AB1944">
            <v>2</v>
          </cell>
        </row>
        <row r="1945">
          <cell r="B1945" t="str">
            <v>Chandru M</v>
          </cell>
          <cell r="I1945" t="str">
            <v>Correct</v>
          </cell>
          <cell r="J1945">
            <v>1.28</v>
          </cell>
          <cell r="K1945" t="str">
            <v>Low</v>
          </cell>
          <cell r="AB1945">
            <v>1</v>
          </cell>
        </row>
        <row r="1946">
          <cell r="B1946" t="str">
            <v>Chandru M</v>
          </cell>
          <cell r="I1946" t="str">
            <v>Correct</v>
          </cell>
          <cell r="J1946">
            <v>1.8</v>
          </cell>
          <cell r="K1946" t="str">
            <v>Low</v>
          </cell>
          <cell r="AB1946">
            <v>0.83</v>
          </cell>
        </row>
        <row r="1947">
          <cell r="B1947" t="str">
            <v>Chandru M</v>
          </cell>
          <cell r="I1947" t="str">
            <v>Correct</v>
          </cell>
          <cell r="J1947">
            <v>1.17</v>
          </cell>
          <cell r="K1947" t="str">
            <v>Low</v>
          </cell>
          <cell r="AB1947">
            <v>2</v>
          </cell>
        </row>
        <row r="1948">
          <cell r="B1948" t="str">
            <v>Chandru M</v>
          </cell>
          <cell r="I1948" t="str">
            <v>Correct</v>
          </cell>
          <cell r="J1948">
            <v>1.2</v>
          </cell>
          <cell r="K1948" t="str">
            <v>Low</v>
          </cell>
          <cell r="AB1948">
            <v>1</v>
          </cell>
        </row>
        <row r="1949">
          <cell r="B1949" t="str">
            <v>Chandru M</v>
          </cell>
          <cell r="I1949" t="str">
            <v>Correct</v>
          </cell>
          <cell r="J1949">
            <v>1.8</v>
          </cell>
          <cell r="K1949" t="str">
            <v>Low</v>
          </cell>
          <cell r="AB1949">
            <v>1.67</v>
          </cell>
        </row>
        <row r="1950">
          <cell r="B1950" t="str">
            <v>Chandru M</v>
          </cell>
          <cell r="I1950" t="str">
            <v>Correct</v>
          </cell>
          <cell r="J1950">
            <v>1.67</v>
          </cell>
          <cell r="K1950" t="str">
            <v>Low</v>
          </cell>
          <cell r="AB1950">
            <v>1.8</v>
          </cell>
        </row>
        <row r="1951">
          <cell r="B1951" t="str">
            <v>Chandru M</v>
          </cell>
          <cell r="I1951" t="str">
            <v>Correct</v>
          </cell>
          <cell r="J1951">
            <v>1.1000000000000001</v>
          </cell>
          <cell r="K1951" t="str">
            <v>Medium</v>
          </cell>
          <cell r="AB1951">
            <v>2</v>
          </cell>
        </row>
        <row r="1952">
          <cell r="B1952" t="str">
            <v>Chandru M</v>
          </cell>
          <cell r="I1952" t="str">
            <v>Correct</v>
          </cell>
          <cell r="J1952">
            <v>1.49</v>
          </cell>
          <cell r="K1952" t="str">
            <v>Medium</v>
          </cell>
          <cell r="AB1952">
            <v>2</v>
          </cell>
        </row>
        <row r="1953">
          <cell r="B1953" t="str">
            <v>Chandru M</v>
          </cell>
          <cell r="I1953" t="str">
            <v>Correct</v>
          </cell>
          <cell r="J1953">
            <v>2</v>
          </cell>
          <cell r="K1953" t="str">
            <v>Medium</v>
          </cell>
          <cell r="AB1953">
            <v>1.8</v>
          </cell>
        </row>
        <row r="1954">
          <cell r="B1954" t="str">
            <v>Chandru M</v>
          </cell>
          <cell r="I1954" t="str">
            <v>Wrong</v>
          </cell>
          <cell r="J1954">
            <v>1.57</v>
          </cell>
          <cell r="K1954" t="str">
            <v>Medium</v>
          </cell>
          <cell r="AB1954">
            <v>0</v>
          </cell>
        </row>
        <row r="1955">
          <cell r="B1955" t="str">
            <v>Chandru M</v>
          </cell>
          <cell r="I1955" t="str">
            <v>Wrong</v>
          </cell>
          <cell r="J1955">
            <v>2.2200000000000002</v>
          </cell>
          <cell r="K1955" t="str">
            <v>Medium</v>
          </cell>
          <cell r="AB1955">
            <v>0</v>
          </cell>
        </row>
        <row r="1956">
          <cell r="B1956" t="str">
            <v>Chandru M</v>
          </cell>
          <cell r="I1956" t="str">
            <v>Correct</v>
          </cell>
          <cell r="J1956">
            <v>1.42</v>
          </cell>
          <cell r="K1956" t="str">
            <v>Medium</v>
          </cell>
          <cell r="AB1956">
            <v>2</v>
          </cell>
        </row>
        <row r="1957">
          <cell r="B1957" t="str">
            <v>Chandru M</v>
          </cell>
          <cell r="I1957" t="str">
            <v>Correct</v>
          </cell>
          <cell r="J1957">
            <v>1.26</v>
          </cell>
          <cell r="K1957" t="str">
            <v>High</v>
          </cell>
          <cell r="AB1957">
            <v>3</v>
          </cell>
        </row>
        <row r="1958">
          <cell r="B1958" t="str">
            <v>Chandru M</v>
          </cell>
          <cell r="I1958" t="str">
            <v>Wrong</v>
          </cell>
          <cell r="J1958">
            <v>1.65</v>
          </cell>
          <cell r="K1958" t="str">
            <v>High</v>
          </cell>
          <cell r="AB1958">
            <v>0</v>
          </cell>
        </row>
        <row r="1959">
          <cell r="B1959" t="str">
            <v>Chandru M</v>
          </cell>
          <cell r="I1959" t="str">
            <v>Wrong</v>
          </cell>
          <cell r="J1959">
            <v>2.17</v>
          </cell>
          <cell r="K1959" t="str">
            <v>High</v>
          </cell>
          <cell r="AB1959">
            <v>0</v>
          </cell>
        </row>
        <row r="1960">
          <cell r="B1960" t="str">
            <v>Chandru M</v>
          </cell>
          <cell r="I1960" t="str">
            <v>Wrong</v>
          </cell>
          <cell r="J1960">
            <v>1.53</v>
          </cell>
          <cell r="K1960" t="str">
            <v>High</v>
          </cell>
          <cell r="AB1960">
            <v>0</v>
          </cell>
        </row>
        <row r="1961">
          <cell r="B1961" t="str">
            <v>Chandru M</v>
          </cell>
          <cell r="I1961" t="str">
            <v>Correct</v>
          </cell>
          <cell r="J1961">
            <v>1.69</v>
          </cell>
          <cell r="K1961" t="str">
            <v>High</v>
          </cell>
          <cell r="AB1961">
            <v>3</v>
          </cell>
        </row>
        <row r="1962">
          <cell r="B1962" t="str">
            <v>Dharshini S</v>
          </cell>
          <cell r="I1962" t="str">
            <v>Correct</v>
          </cell>
          <cell r="J1962">
            <v>1.93</v>
          </cell>
          <cell r="K1962" t="str">
            <v>Low</v>
          </cell>
          <cell r="AB1962">
            <v>1.55</v>
          </cell>
        </row>
        <row r="1963">
          <cell r="B1963" t="str">
            <v>Dharshini S</v>
          </cell>
          <cell r="I1963" t="str">
            <v>Correct</v>
          </cell>
          <cell r="J1963">
            <v>1.47</v>
          </cell>
          <cell r="K1963" t="str">
            <v>Low</v>
          </cell>
          <cell r="AB1963">
            <v>1</v>
          </cell>
        </row>
        <row r="1964">
          <cell r="B1964" t="str">
            <v>Dharshini S</v>
          </cell>
          <cell r="I1964" t="str">
            <v>Correct</v>
          </cell>
          <cell r="J1964">
            <v>1.48</v>
          </cell>
          <cell r="K1964" t="str">
            <v>Low</v>
          </cell>
          <cell r="AB1964">
            <v>2</v>
          </cell>
        </row>
        <row r="1965">
          <cell r="B1965" t="str">
            <v>Dharshini S</v>
          </cell>
          <cell r="I1965" t="str">
            <v>Correct</v>
          </cell>
          <cell r="J1965">
            <v>1.01</v>
          </cell>
          <cell r="K1965" t="str">
            <v>Low</v>
          </cell>
          <cell r="AB1965">
            <v>1</v>
          </cell>
        </row>
        <row r="1966">
          <cell r="B1966" t="str">
            <v>Dharshini S</v>
          </cell>
          <cell r="I1966" t="str">
            <v>Wrong</v>
          </cell>
          <cell r="J1966">
            <v>1.19</v>
          </cell>
          <cell r="K1966" t="str">
            <v>Low</v>
          </cell>
          <cell r="AB1966">
            <v>0</v>
          </cell>
        </row>
        <row r="1967">
          <cell r="B1967" t="str">
            <v>Dharshini S</v>
          </cell>
          <cell r="I1967" t="str">
            <v>Correct</v>
          </cell>
          <cell r="J1967">
            <v>1.43</v>
          </cell>
          <cell r="K1967" t="str">
            <v>Low</v>
          </cell>
          <cell r="AB1967">
            <v>2</v>
          </cell>
        </row>
        <row r="1968">
          <cell r="B1968" t="str">
            <v>Dharshini S</v>
          </cell>
          <cell r="I1968" t="str">
            <v>Correct</v>
          </cell>
          <cell r="J1968">
            <v>1.97</v>
          </cell>
          <cell r="K1968" t="str">
            <v>Low</v>
          </cell>
          <cell r="AB1968">
            <v>0.76</v>
          </cell>
        </row>
        <row r="1969">
          <cell r="B1969" t="str">
            <v>Dharshini S</v>
          </cell>
          <cell r="I1969" t="str">
            <v>Correct</v>
          </cell>
          <cell r="J1969">
            <v>1.85</v>
          </cell>
          <cell r="K1969" t="str">
            <v>Low</v>
          </cell>
          <cell r="AB1969">
            <v>1.62</v>
          </cell>
        </row>
        <row r="1970">
          <cell r="B1970" t="str">
            <v>Dharshini S</v>
          </cell>
          <cell r="I1970" t="str">
            <v>Correct</v>
          </cell>
          <cell r="J1970">
            <v>0.94</v>
          </cell>
          <cell r="K1970" t="str">
            <v>Low</v>
          </cell>
          <cell r="AB1970">
            <v>2</v>
          </cell>
        </row>
        <row r="1971">
          <cell r="B1971" t="str">
            <v>Dharshini S</v>
          </cell>
          <cell r="I1971" t="str">
            <v>Correct</v>
          </cell>
          <cell r="J1971">
            <v>1.67</v>
          </cell>
          <cell r="K1971" t="str">
            <v>Medium</v>
          </cell>
          <cell r="AB1971">
            <v>2</v>
          </cell>
        </row>
        <row r="1972">
          <cell r="B1972" t="str">
            <v>Dharshini S</v>
          </cell>
          <cell r="I1972" t="str">
            <v>Correct</v>
          </cell>
          <cell r="J1972">
            <v>1.9</v>
          </cell>
          <cell r="K1972" t="str">
            <v>Medium</v>
          </cell>
          <cell r="AB1972">
            <v>1.89</v>
          </cell>
        </row>
        <row r="1973">
          <cell r="B1973" t="str">
            <v>Dharshini S</v>
          </cell>
          <cell r="I1973" t="str">
            <v>Correct</v>
          </cell>
          <cell r="J1973">
            <v>2.09</v>
          </cell>
          <cell r="K1973" t="str">
            <v>Medium</v>
          </cell>
          <cell r="AB1973">
            <v>1.72</v>
          </cell>
        </row>
        <row r="1974">
          <cell r="B1974" t="str">
            <v>Dharshini S</v>
          </cell>
          <cell r="I1974" t="str">
            <v>Wrong</v>
          </cell>
          <cell r="J1974">
            <v>1.25</v>
          </cell>
          <cell r="K1974" t="str">
            <v>Medium</v>
          </cell>
          <cell r="AB1974">
            <v>0</v>
          </cell>
        </row>
        <row r="1975">
          <cell r="B1975" t="str">
            <v>Dharshini S</v>
          </cell>
          <cell r="I1975" t="str">
            <v>Correct</v>
          </cell>
          <cell r="J1975">
            <v>1.85</v>
          </cell>
          <cell r="K1975" t="str">
            <v>Medium</v>
          </cell>
          <cell r="AB1975">
            <v>1.95</v>
          </cell>
        </row>
        <row r="1976">
          <cell r="B1976" t="str">
            <v>Dharshini S</v>
          </cell>
          <cell r="I1976" t="str">
            <v>Correct</v>
          </cell>
          <cell r="J1976">
            <v>1.61</v>
          </cell>
          <cell r="K1976" t="str">
            <v>Medium</v>
          </cell>
          <cell r="AB1976">
            <v>2</v>
          </cell>
        </row>
        <row r="1977">
          <cell r="B1977" t="str">
            <v>Dharshini S</v>
          </cell>
          <cell r="I1977" t="str">
            <v>Wrong</v>
          </cell>
          <cell r="J1977">
            <v>1.79</v>
          </cell>
          <cell r="K1977" t="str">
            <v>High</v>
          </cell>
          <cell r="AB1977">
            <v>0</v>
          </cell>
        </row>
        <row r="1978">
          <cell r="B1978" t="str">
            <v>Dharshini S</v>
          </cell>
          <cell r="I1978" t="str">
            <v>Correct</v>
          </cell>
          <cell r="J1978">
            <v>1.75</v>
          </cell>
          <cell r="K1978" t="str">
            <v>High</v>
          </cell>
          <cell r="AB1978">
            <v>3</v>
          </cell>
        </row>
        <row r="1979">
          <cell r="B1979" t="str">
            <v>Dharshini S</v>
          </cell>
          <cell r="I1979" t="str">
            <v>Correct</v>
          </cell>
          <cell r="J1979">
            <v>1.68</v>
          </cell>
          <cell r="K1979" t="str">
            <v>High</v>
          </cell>
          <cell r="AB1979">
            <v>3</v>
          </cell>
        </row>
        <row r="1980">
          <cell r="B1980" t="str">
            <v>Dharshini S</v>
          </cell>
          <cell r="I1980" t="str">
            <v>Correct</v>
          </cell>
          <cell r="J1980">
            <v>1.97</v>
          </cell>
          <cell r="K1980" t="str">
            <v>High</v>
          </cell>
          <cell r="AB1980">
            <v>3</v>
          </cell>
        </row>
        <row r="1981">
          <cell r="B1981" t="str">
            <v>Dharshini S</v>
          </cell>
          <cell r="I1981" t="str">
            <v>Wrong</v>
          </cell>
          <cell r="J1981">
            <v>1.4</v>
          </cell>
          <cell r="K1981" t="str">
            <v>High</v>
          </cell>
          <cell r="AB1981">
            <v>0</v>
          </cell>
        </row>
        <row r="1982">
          <cell r="B1982" t="str">
            <v>Eswaran K</v>
          </cell>
          <cell r="I1982" t="str">
            <v>Correct</v>
          </cell>
          <cell r="J1982">
            <v>1.25</v>
          </cell>
          <cell r="K1982" t="str">
            <v>Low</v>
          </cell>
          <cell r="AB1982">
            <v>2</v>
          </cell>
        </row>
        <row r="1983">
          <cell r="B1983" t="str">
            <v>Eswaran K</v>
          </cell>
          <cell r="I1983" t="str">
            <v>Correct</v>
          </cell>
          <cell r="J1983">
            <v>1.83</v>
          </cell>
          <cell r="K1983" t="str">
            <v>Low</v>
          </cell>
          <cell r="AB1983">
            <v>0.82</v>
          </cell>
        </row>
        <row r="1984">
          <cell r="B1984" t="str">
            <v>Eswaran K</v>
          </cell>
          <cell r="I1984" t="str">
            <v>Correct</v>
          </cell>
          <cell r="J1984">
            <v>1.0900000000000001</v>
          </cell>
          <cell r="K1984" t="str">
            <v>Low</v>
          </cell>
          <cell r="AB1984">
            <v>2</v>
          </cell>
        </row>
        <row r="1985">
          <cell r="B1985" t="str">
            <v>Eswaran K</v>
          </cell>
          <cell r="I1985" t="str">
            <v>Correct</v>
          </cell>
          <cell r="J1985">
            <v>1.05</v>
          </cell>
          <cell r="K1985" t="str">
            <v>Low</v>
          </cell>
          <cell r="AB1985">
            <v>1</v>
          </cell>
        </row>
        <row r="1986">
          <cell r="B1986" t="str">
            <v>Eswaran K</v>
          </cell>
          <cell r="I1986" t="str">
            <v>Correct</v>
          </cell>
          <cell r="J1986">
            <v>1.64</v>
          </cell>
          <cell r="K1986" t="str">
            <v>Low</v>
          </cell>
          <cell r="AB1986">
            <v>0.92</v>
          </cell>
        </row>
        <row r="1987">
          <cell r="B1987" t="str">
            <v>Eswaran K</v>
          </cell>
          <cell r="I1987" t="str">
            <v>Correct</v>
          </cell>
          <cell r="J1987">
            <v>0.96</v>
          </cell>
          <cell r="K1987" t="str">
            <v>Low</v>
          </cell>
          <cell r="AB1987">
            <v>2</v>
          </cell>
        </row>
        <row r="1988">
          <cell r="B1988" t="str">
            <v>Eswaran K</v>
          </cell>
          <cell r="I1988" t="str">
            <v>Wrong</v>
          </cell>
          <cell r="J1988">
            <v>1.59</v>
          </cell>
          <cell r="K1988" t="str">
            <v>Low</v>
          </cell>
          <cell r="AB1988">
            <v>0</v>
          </cell>
        </row>
        <row r="1989">
          <cell r="B1989" t="str">
            <v>Eswaran K</v>
          </cell>
          <cell r="I1989" t="str">
            <v>Correct</v>
          </cell>
          <cell r="J1989">
            <v>1.99</v>
          </cell>
          <cell r="K1989" t="str">
            <v>Low</v>
          </cell>
          <cell r="AB1989">
            <v>1.51</v>
          </cell>
        </row>
        <row r="1990">
          <cell r="B1990" t="str">
            <v>Eswaran K</v>
          </cell>
          <cell r="I1990" t="str">
            <v>Correct</v>
          </cell>
          <cell r="J1990">
            <v>1.99</v>
          </cell>
          <cell r="K1990" t="str">
            <v>Low</v>
          </cell>
          <cell r="AB1990">
            <v>1.51</v>
          </cell>
        </row>
        <row r="1991">
          <cell r="B1991" t="str">
            <v>Eswaran K</v>
          </cell>
          <cell r="I1991" t="str">
            <v>Wrong</v>
          </cell>
          <cell r="J1991">
            <v>1.94</v>
          </cell>
          <cell r="K1991" t="str">
            <v>Medium</v>
          </cell>
          <cell r="AB1991">
            <v>0</v>
          </cell>
        </row>
        <row r="1992">
          <cell r="B1992" t="str">
            <v>Eswaran K</v>
          </cell>
          <cell r="I1992" t="str">
            <v>Correct</v>
          </cell>
          <cell r="J1992">
            <v>2.2400000000000002</v>
          </cell>
          <cell r="K1992" t="str">
            <v>Medium</v>
          </cell>
          <cell r="AB1992">
            <v>1.61</v>
          </cell>
        </row>
        <row r="1993">
          <cell r="B1993" t="str">
            <v>Eswaran K</v>
          </cell>
          <cell r="I1993" t="str">
            <v>Correct</v>
          </cell>
          <cell r="J1993">
            <v>1.8</v>
          </cell>
          <cell r="K1993" t="str">
            <v>Medium</v>
          </cell>
          <cell r="AB1993">
            <v>2</v>
          </cell>
        </row>
        <row r="1994">
          <cell r="B1994" t="str">
            <v>Eswaran K</v>
          </cell>
          <cell r="I1994" t="str">
            <v>Wrong</v>
          </cell>
          <cell r="J1994">
            <v>1.1299999999999999</v>
          </cell>
          <cell r="K1994" t="str">
            <v>Medium</v>
          </cell>
          <cell r="AB1994">
            <v>0</v>
          </cell>
        </row>
        <row r="1995">
          <cell r="B1995" t="str">
            <v>Eswaran K</v>
          </cell>
          <cell r="I1995" t="str">
            <v>Wrong</v>
          </cell>
          <cell r="J1995">
            <v>1.4</v>
          </cell>
          <cell r="K1995" t="str">
            <v>Medium</v>
          </cell>
          <cell r="AB1995">
            <v>0</v>
          </cell>
        </row>
        <row r="1996">
          <cell r="B1996" t="str">
            <v>Eswaran K</v>
          </cell>
          <cell r="I1996" t="str">
            <v>Wrong</v>
          </cell>
          <cell r="J1996">
            <v>1.64</v>
          </cell>
          <cell r="K1996" t="str">
            <v>Medium</v>
          </cell>
          <cell r="AB1996">
            <v>0</v>
          </cell>
        </row>
        <row r="1997">
          <cell r="B1997" t="str">
            <v>Eswaran K</v>
          </cell>
          <cell r="I1997" t="str">
            <v>Wrong</v>
          </cell>
          <cell r="J1997">
            <v>1.5</v>
          </cell>
          <cell r="K1997" t="str">
            <v>High</v>
          </cell>
          <cell r="AB1997">
            <v>0</v>
          </cell>
        </row>
        <row r="1998">
          <cell r="B1998" t="str">
            <v>Eswaran K</v>
          </cell>
          <cell r="I1998" t="str">
            <v>Wrong</v>
          </cell>
          <cell r="J1998">
            <v>2.1800000000000002</v>
          </cell>
          <cell r="K1998" t="str">
            <v>High</v>
          </cell>
          <cell r="AB1998">
            <v>0</v>
          </cell>
        </row>
        <row r="1999">
          <cell r="B1999" t="str">
            <v>Eswaran K</v>
          </cell>
          <cell r="I1999" t="str">
            <v>Correct</v>
          </cell>
          <cell r="J1999">
            <v>2.2200000000000002</v>
          </cell>
          <cell r="K1999" t="str">
            <v>High</v>
          </cell>
          <cell r="AB1999">
            <v>2.7</v>
          </cell>
        </row>
        <row r="2000">
          <cell r="B2000" t="str">
            <v>Eswaran K</v>
          </cell>
          <cell r="I2000" t="str">
            <v>Wrong</v>
          </cell>
          <cell r="J2000">
            <v>1.35</v>
          </cell>
          <cell r="K2000" t="str">
            <v>High</v>
          </cell>
          <cell r="AB2000">
            <v>0</v>
          </cell>
        </row>
        <row r="2001">
          <cell r="B2001" t="str">
            <v>Eswaran K</v>
          </cell>
          <cell r="I2001" t="str">
            <v>Wrong</v>
          </cell>
          <cell r="J2001">
            <v>1.25</v>
          </cell>
          <cell r="K2001" t="str">
            <v>High</v>
          </cell>
          <cell r="AB2001">
            <v>0</v>
          </cell>
        </row>
        <row r="2002">
          <cell r="B2002" t="str">
            <v>Gowtham Raj</v>
          </cell>
          <cell r="I2002" t="str">
            <v>Wrong</v>
          </cell>
          <cell r="J2002">
            <v>1.61</v>
          </cell>
          <cell r="K2002" t="str">
            <v>Low</v>
          </cell>
          <cell r="AB2002">
            <v>0</v>
          </cell>
        </row>
        <row r="2003">
          <cell r="B2003" t="str">
            <v>Gowtham Raj</v>
          </cell>
          <cell r="I2003" t="str">
            <v>Correct</v>
          </cell>
          <cell r="J2003">
            <v>1.01</v>
          </cell>
          <cell r="K2003" t="str">
            <v>Low</v>
          </cell>
          <cell r="AB2003">
            <v>1</v>
          </cell>
        </row>
        <row r="2004">
          <cell r="B2004" t="str">
            <v>Gowtham Raj</v>
          </cell>
          <cell r="I2004" t="str">
            <v>Correct</v>
          </cell>
          <cell r="J2004">
            <v>1.86</v>
          </cell>
          <cell r="K2004" t="str">
            <v>Low</v>
          </cell>
          <cell r="AB2004">
            <v>1.61</v>
          </cell>
        </row>
        <row r="2005">
          <cell r="B2005" t="str">
            <v>Gowtham Raj</v>
          </cell>
          <cell r="I2005" t="str">
            <v>Correct</v>
          </cell>
          <cell r="J2005">
            <v>1.38</v>
          </cell>
          <cell r="K2005" t="str">
            <v>Low</v>
          </cell>
          <cell r="AB2005">
            <v>1</v>
          </cell>
        </row>
        <row r="2006">
          <cell r="B2006" t="str">
            <v>Gowtham Raj</v>
          </cell>
          <cell r="I2006" t="str">
            <v>Correct</v>
          </cell>
          <cell r="J2006">
            <v>1.76</v>
          </cell>
          <cell r="K2006" t="str">
            <v>Low</v>
          </cell>
          <cell r="AB2006">
            <v>0.85</v>
          </cell>
        </row>
        <row r="2007">
          <cell r="B2007" t="str">
            <v>Gowtham Raj</v>
          </cell>
          <cell r="I2007" t="str">
            <v>Correct</v>
          </cell>
          <cell r="J2007">
            <v>0.96</v>
          </cell>
          <cell r="K2007" t="str">
            <v>Low</v>
          </cell>
          <cell r="AB2007">
            <v>2</v>
          </cell>
        </row>
        <row r="2008">
          <cell r="B2008" t="str">
            <v>Gowtham Raj</v>
          </cell>
          <cell r="I2008" t="str">
            <v>Correct</v>
          </cell>
          <cell r="J2008">
            <v>1.55</v>
          </cell>
          <cell r="K2008" t="str">
            <v>Low</v>
          </cell>
          <cell r="AB2008">
            <v>0.97</v>
          </cell>
        </row>
        <row r="2009">
          <cell r="B2009" t="str">
            <v>Gowtham Raj</v>
          </cell>
          <cell r="I2009" t="str">
            <v>Correct</v>
          </cell>
          <cell r="J2009">
            <v>1.79</v>
          </cell>
          <cell r="K2009" t="str">
            <v>Low</v>
          </cell>
          <cell r="AB2009">
            <v>1.68</v>
          </cell>
        </row>
        <row r="2010">
          <cell r="B2010" t="str">
            <v>Gowtham Raj</v>
          </cell>
          <cell r="I2010" t="str">
            <v>Correct</v>
          </cell>
          <cell r="J2010">
            <v>1.39</v>
          </cell>
          <cell r="K2010" t="str">
            <v>Low</v>
          </cell>
          <cell r="AB2010">
            <v>2</v>
          </cell>
        </row>
        <row r="2011">
          <cell r="B2011" t="str">
            <v>Gowtham Raj</v>
          </cell>
          <cell r="I2011" t="str">
            <v>Correct</v>
          </cell>
          <cell r="J2011">
            <v>2.25</v>
          </cell>
          <cell r="K2011" t="str">
            <v>Medium</v>
          </cell>
          <cell r="AB2011">
            <v>1.6</v>
          </cell>
        </row>
        <row r="2012">
          <cell r="B2012" t="str">
            <v>Gowtham Raj</v>
          </cell>
          <cell r="I2012" t="str">
            <v>Correct</v>
          </cell>
          <cell r="J2012">
            <v>1.8</v>
          </cell>
          <cell r="K2012" t="str">
            <v>Medium</v>
          </cell>
          <cell r="AB2012">
            <v>2</v>
          </cell>
        </row>
        <row r="2013">
          <cell r="B2013" t="str">
            <v>Gowtham Raj</v>
          </cell>
          <cell r="I2013" t="str">
            <v>Correct</v>
          </cell>
          <cell r="J2013">
            <v>2.1</v>
          </cell>
          <cell r="K2013" t="str">
            <v>Medium</v>
          </cell>
          <cell r="AB2013">
            <v>1.71</v>
          </cell>
        </row>
        <row r="2014">
          <cell r="B2014" t="str">
            <v>Gowtham Raj</v>
          </cell>
          <cell r="I2014" t="str">
            <v>Wrong</v>
          </cell>
          <cell r="J2014">
            <v>1.56</v>
          </cell>
          <cell r="K2014" t="str">
            <v>Medium</v>
          </cell>
          <cell r="AB2014">
            <v>0</v>
          </cell>
        </row>
        <row r="2015">
          <cell r="B2015" t="str">
            <v>Gowtham Raj</v>
          </cell>
          <cell r="I2015" t="str">
            <v>Wrong</v>
          </cell>
          <cell r="J2015">
            <v>1.1499999999999999</v>
          </cell>
          <cell r="K2015" t="str">
            <v>Medium</v>
          </cell>
          <cell r="AB2015">
            <v>0</v>
          </cell>
        </row>
        <row r="2016">
          <cell r="B2016" t="str">
            <v>Gowtham Raj</v>
          </cell>
          <cell r="I2016" t="str">
            <v>Correct</v>
          </cell>
          <cell r="J2016">
            <v>1.2</v>
          </cell>
          <cell r="K2016" t="str">
            <v>Medium</v>
          </cell>
          <cell r="AB2016">
            <v>2</v>
          </cell>
        </row>
        <row r="2017">
          <cell r="B2017" t="str">
            <v>Gowtham Raj</v>
          </cell>
          <cell r="I2017" t="str">
            <v>Correct</v>
          </cell>
          <cell r="J2017">
            <v>2.3199999999999998</v>
          </cell>
          <cell r="K2017" t="str">
            <v>High</v>
          </cell>
          <cell r="AB2017">
            <v>2.59</v>
          </cell>
        </row>
        <row r="2018">
          <cell r="B2018" t="str">
            <v>Gowtham Raj</v>
          </cell>
          <cell r="I2018" t="str">
            <v>Wrong</v>
          </cell>
          <cell r="J2018">
            <v>1.95</v>
          </cell>
          <cell r="K2018" t="str">
            <v>High</v>
          </cell>
          <cell r="AB2018">
            <v>0</v>
          </cell>
        </row>
        <row r="2019">
          <cell r="B2019" t="str">
            <v>Gowtham Raj</v>
          </cell>
          <cell r="I2019" t="str">
            <v>Correct</v>
          </cell>
          <cell r="J2019">
            <v>1.89</v>
          </cell>
          <cell r="K2019" t="str">
            <v>High</v>
          </cell>
          <cell r="AB2019">
            <v>3</v>
          </cell>
        </row>
        <row r="2020">
          <cell r="B2020" t="str">
            <v>Gowtham Raj</v>
          </cell>
          <cell r="I2020" t="str">
            <v>Correct</v>
          </cell>
          <cell r="J2020">
            <v>2.31</v>
          </cell>
          <cell r="K2020" t="str">
            <v>High</v>
          </cell>
          <cell r="AB2020">
            <v>2.6</v>
          </cell>
        </row>
        <row r="2021">
          <cell r="B2021" t="str">
            <v>Gowtham Raj</v>
          </cell>
          <cell r="I2021" t="str">
            <v>Correct</v>
          </cell>
          <cell r="J2021">
            <v>1.4</v>
          </cell>
          <cell r="K2021" t="str">
            <v>High</v>
          </cell>
          <cell r="AB2021">
            <v>3</v>
          </cell>
        </row>
        <row r="2022">
          <cell r="B2022" t="str">
            <v>Hema Malini</v>
          </cell>
          <cell r="I2022" t="str">
            <v>Correct</v>
          </cell>
          <cell r="J2022">
            <v>1.56</v>
          </cell>
          <cell r="K2022" t="str">
            <v>Low</v>
          </cell>
          <cell r="AB2022">
            <v>1.92</v>
          </cell>
        </row>
        <row r="2023">
          <cell r="B2023" t="str">
            <v>Hema Malini</v>
          </cell>
          <cell r="I2023" t="str">
            <v>Correct</v>
          </cell>
          <cell r="J2023">
            <v>1.83</v>
          </cell>
          <cell r="K2023" t="str">
            <v>Low</v>
          </cell>
          <cell r="AB2023">
            <v>0.82</v>
          </cell>
        </row>
        <row r="2024">
          <cell r="B2024" t="str">
            <v>Hema Malini</v>
          </cell>
          <cell r="I2024" t="str">
            <v>Correct</v>
          </cell>
          <cell r="J2024">
            <v>1.96</v>
          </cell>
          <cell r="K2024" t="str">
            <v>Low</v>
          </cell>
          <cell r="AB2024">
            <v>1.53</v>
          </cell>
        </row>
        <row r="2025">
          <cell r="B2025" t="str">
            <v>Hema Malini</v>
          </cell>
          <cell r="I2025" t="str">
            <v>Correct</v>
          </cell>
          <cell r="J2025">
            <v>1.35</v>
          </cell>
          <cell r="K2025" t="str">
            <v>Low</v>
          </cell>
          <cell r="AB2025">
            <v>1</v>
          </cell>
        </row>
        <row r="2026">
          <cell r="B2026" t="str">
            <v>Hema Malini</v>
          </cell>
          <cell r="I2026" t="str">
            <v>Correct</v>
          </cell>
          <cell r="J2026">
            <v>1.42</v>
          </cell>
          <cell r="K2026" t="str">
            <v>Low</v>
          </cell>
          <cell r="AB2026">
            <v>1</v>
          </cell>
        </row>
        <row r="2027">
          <cell r="B2027" t="str">
            <v>Hema Malini</v>
          </cell>
          <cell r="I2027" t="str">
            <v>Wrong</v>
          </cell>
          <cell r="J2027">
            <v>0.92</v>
          </cell>
          <cell r="K2027" t="str">
            <v>Low</v>
          </cell>
          <cell r="AB2027">
            <v>0</v>
          </cell>
        </row>
        <row r="2028">
          <cell r="B2028" t="str">
            <v>Hema Malini</v>
          </cell>
          <cell r="I2028" t="str">
            <v>Correct</v>
          </cell>
          <cell r="J2028">
            <v>1.68</v>
          </cell>
          <cell r="K2028" t="str">
            <v>Low</v>
          </cell>
          <cell r="AB2028">
            <v>0.89</v>
          </cell>
        </row>
        <row r="2029">
          <cell r="B2029" t="str">
            <v>Hema Malini</v>
          </cell>
          <cell r="I2029" t="str">
            <v>Wrong</v>
          </cell>
          <cell r="J2029">
            <v>1.39</v>
          </cell>
          <cell r="K2029" t="str">
            <v>Low</v>
          </cell>
          <cell r="AB2029">
            <v>0</v>
          </cell>
        </row>
        <row r="2030">
          <cell r="B2030" t="str">
            <v>Hema Malini</v>
          </cell>
          <cell r="I2030" t="str">
            <v>Correct</v>
          </cell>
          <cell r="J2030">
            <v>1.55</v>
          </cell>
          <cell r="K2030" t="str">
            <v>Low</v>
          </cell>
          <cell r="AB2030">
            <v>1.94</v>
          </cell>
        </row>
        <row r="2031">
          <cell r="B2031" t="str">
            <v>Hema Malini</v>
          </cell>
          <cell r="I2031" t="str">
            <v>Correct</v>
          </cell>
          <cell r="J2031">
            <v>1.21</v>
          </cell>
          <cell r="K2031" t="str">
            <v>Medium</v>
          </cell>
          <cell r="AB2031">
            <v>2</v>
          </cell>
        </row>
        <row r="2032">
          <cell r="B2032" t="str">
            <v>Hema Malini</v>
          </cell>
          <cell r="I2032" t="str">
            <v>Wrong</v>
          </cell>
          <cell r="J2032">
            <v>1.22</v>
          </cell>
          <cell r="K2032" t="str">
            <v>Medium</v>
          </cell>
          <cell r="AB2032">
            <v>0</v>
          </cell>
        </row>
        <row r="2033">
          <cell r="B2033" t="str">
            <v>Hema Malini</v>
          </cell>
          <cell r="I2033" t="str">
            <v>Wrong</v>
          </cell>
          <cell r="J2033">
            <v>2.21</v>
          </cell>
          <cell r="K2033" t="str">
            <v>Medium</v>
          </cell>
          <cell r="AB2033">
            <v>0</v>
          </cell>
        </row>
        <row r="2034">
          <cell r="B2034" t="str">
            <v>Hema Malini</v>
          </cell>
          <cell r="I2034" t="str">
            <v>Correct</v>
          </cell>
          <cell r="J2034">
            <v>1.99</v>
          </cell>
          <cell r="K2034" t="str">
            <v>Medium</v>
          </cell>
          <cell r="AB2034">
            <v>1.81</v>
          </cell>
        </row>
        <row r="2035">
          <cell r="B2035" t="str">
            <v>Hema Malini</v>
          </cell>
          <cell r="I2035" t="str">
            <v>Correct</v>
          </cell>
          <cell r="J2035">
            <v>1.52</v>
          </cell>
          <cell r="K2035" t="str">
            <v>Medium</v>
          </cell>
          <cell r="AB2035">
            <v>2</v>
          </cell>
        </row>
        <row r="2036">
          <cell r="B2036" t="str">
            <v>Hema Malini</v>
          </cell>
          <cell r="I2036" t="str">
            <v>Correct</v>
          </cell>
          <cell r="J2036">
            <v>1.97</v>
          </cell>
          <cell r="K2036" t="str">
            <v>Medium</v>
          </cell>
          <cell r="AB2036">
            <v>1.83</v>
          </cell>
        </row>
        <row r="2037">
          <cell r="B2037" t="str">
            <v>Hema Malini</v>
          </cell>
          <cell r="I2037" t="str">
            <v>Wrong</v>
          </cell>
          <cell r="J2037">
            <v>1.27</v>
          </cell>
          <cell r="K2037" t="str">
            <v>High</v>
          </cell>
          <cell r="AB2037">
            <v>0</v>
          </cell>
        </row>
        <row r="2038">
          <cell r="B2038" t="str">
            <v>Hema Malini</v>
          </cell>
          <cell r="I2038" t="str">
            <v>Correct</v>
          </cell>
          <cell r="J2038">
            <v>1.82</v>
          </cell>
          <cell r="K2038" t="str">
            <v>High</v>
          </cell>
          <cell r="AB2038">
            <v>3</v>
          </cell>
        </row>
        <row r="2039">
          <cell r="B2039" t="str">
            <v>Hema Malini</v>
          </cell>
          <cell r="I2039" t="str">
            <v>Correct</v>
          </cell>
          <cell r="J2039">
            <v>1.58</v>
          </cell>
          <cell r="K2039" t="str">
            <v>High</v>
          </cell>
          <cell r="AB2039">
            <v>3</v>
          </cell>
        </row>
        <row r="2040">
          <cell r="B2040" t="str">
            <v>Hema Malini</v>
          </cell>
          <cell r="I2040" t="str">
            <v>Correct</v>
          </cell>
          <cell r="J2040">
            <v>1.95</v>
          </cell>
          <cell r="K2040" t="str">
            <v>High</v>
          </cell>
          <cell r="AB2040">
            <v>3</v>
          </cell>
        </row>
        <row r="2041">
          <cell r="B2041" t="str">
            <v>Hema Malini</v>
          </cell>
          <cell r="I2041" t="str">
            <v>Correct</v>
          </cell>
          <cell r="J2041">
            <v>2.25</v>
          </cell>
          <cell r="K2041" t="str">
            <v>High</v>
          </cell>
          <cell r="AB2041">
            <v>2.67</v>
          </cell>
        </row>
        <row r="2042">
          <cell r="B2042" t="str">
            <v>Iniya Priya</v>
          </cell>
          <cell r="I2042" t="str">
            <v>Wrong</v>
          </cell>
          <cell r="J2042">
            <v>1.94</v>
          </cell>
          <cell r="K2042" t="str">
            <v>Low</v>
          </cell>
          <cell r="AB2042">
            <v>0</v>
          </cell>
        </row>
        <row r="2043">
          <cell r="B2043" t="str">
            <v>Iniya Priya</v>
          </cell>
          <cell r="I2043" t="str">
            <v>Wrong</v>
          </cell>
          <cell r="J2043">
            <v>1.19</v>
          </cell>
          <cell r="K2043" t="str">
            <v>Low</v>
          </cell>
          <cell r="AB2043">
            <v>0</v>
          </cell>
        </row>
        <row r="2044">
          <cell r="B2044" t="str">
            <v>Iniya Priya</v>
          </cell>
          <cell r="I2044" t="str">
            <v>Correct</v>
          </cell>
          <cell r="J2044">
            <v>1.06</v>
          </cell>
          <cell r="K2044" t="str">
            <v>Low</v>
          </cell>
          <cell r="AB2044">
            <v>2</v>
          </cell>
        </row>
        <row r="2045">
          <cell r="B2045" t="str">
            <v>Iniya Priya</v>
          </cell>
          <cell r="I2045" t="str">
            <v>Correct</v>
          </cell>
          <cell r="J2045">
            <v>1.26</v>
          </cell>
          <cell r="K2045" t="str">
            <v>Low</v>
          </cell>
          <cell r="AB2045">
            <v>1</v>
          </cell>
        </row>
        <row r="2046">
          <cell r="B2046" t="str">
            <v>Iniya Priya</v>
          </cell>
          <cell r="I2046" t="str">
            <v>Wrong</v>
          </cell>
          <cell r="J2046">
            <v>1.8</v>
          </cell>
          <cell r="K2046" t="str">
            <v>Low</v>
          </cell>
          <cell r="AB2046">
            <v>0</v>
          </cell>
        </row>
        <row r="2047">
          <cell r="B2047" t="str">
            <v>Iniya Priya</v>
          </cell>
          <cell r="I2047" t="str">
            <v>Correct</v>
          </cell>
          <cell r="J2047">
            <v>0.97</v>
          </cell>
          <cell r="K2047" t="str">
            <v>Low</v>
          </cell>
          <cell r="AB2047">
            <v>2</v>
          </cell>
        </row>
        <row r="2048">
          <cell r="B2048" t="str">
            <v>Iniya Priya</v>
          </cell>
          <cell r="I2048" t="str">
            <v>Correct</v>
          </cell>
          <cell r="J2048">
            <v>1.97</v>
          </cell>
          <cell r="K2048" t="str">
            <v>Low</v>
          </cell>
          <cell r="AB2048">
            <v>0.76</v>
          </cell>
        </row>
        <row r="2049">
          <cell r="B2049" t="str">
            <v>Iniya Priya</v>
          </cell>
          <cell r="I2049" t="str">
            <v>Wrong</v>
          </cell>
          <cell r="J2049">
            <v>1.53</v>
          </cell>
          <cell r="K2049" t="str">
            <v>Low</v>
          </cell>
          <cell r="AB2049">
            <v>0</v>
          </cell>
        </row>
        <row r="2050">
          <cell r="B2050" t="str">
            <v>Iniya Priya</v>
          </cell>
          <cell r="I2050" t="str">
            <v>Correct</v>
          </cell>
          <cell r="J2050">
            <v>1.54</v>
          </cell>
          <cell r="K2050" t="str">
            <v>Low</v>
          </cell>
          <cell r="AB2050">
            <v>1.95</v>
          </cell>
        </row>
        <row r="2051">
          <cell r="B2051" t="str">
            <v>Iniya Priya</v>
          </cell>
          <cell r="I2051" t="str">
            <v>Correct</v>
          </cell>
          <cell r="J2051">
            <v>2.2400000000000002</v>
          </cell>
          <cell r="K2051" t="str">
            <v>Medium</v>
          </cell>
          <cell r="AB2051">
            <v>1.61</v>
          </cell>
        </row>
        <row r="2052">
          <cell r="B2052" t="str">
            <v>Iniya Priya</v>
          </cell>
          <cell r="I2052" t="str">
            <v>Correct</v>
          </cell>
          <cell r="J2052">
            <v>2.0499999999999998</v>
          </cell>
          <cell r="K2052" t="str">
            <v>Medium</v>
          </cell>
          <cell r="AB2052">
            <v>1.76</v>
          </cell>
        </row>
        <row r="2053">
          <cell r="B2053" t="str">
            <v>Iniya Priya</v>
          </cell>
          <cell r="I2053" t="str">
            <v>Correct</v>
          </cell>
          <cell r="J2053">
            <v>2.08</v>
          </cell>
          <cell r="K2053" t="str">
            <v>Medium</v>
          </cell>
          <cell r="AB2053">
            <v>1.73</v>
          </cell>
        </row>
        <row r="2054">
          <cell r="B2054" t="str">
            <v>Iniya Priya</v>
          </cell>
          <cell r="I2054" t="str">
            <v>Correct</v>
          </cell>
          <cell r="J2054">
            <v>1.42</v>
          </cell>
          <cell r="K2054" t="str">
            <v>Medium</v>
          </cell>
          <cell r="AB2054">
            <v>2</v>
          </cell>
        </row>
        <row r="2055">
          <cell r="B2055" t="str">
            <v>Iniya Priya</v>
          </cell>
          <cell r="I2055" t="str">
            <v>Correct</v>
          </cell>
          <cell r="J2055">
            <v>1.35</v>
          </cell>
          <cell r="K2055" t="str">
            <v>Medium</v>
          </cell>
          <cell r="AB2055">
            <v>2</v>
          </cell>
        </row>
        <row r="2056">
          <cell r="B2056" t="str">
            <v>Iniya Priya</v>
          </cell>
          <cell r="I2056" t="str">
            <v>Wrong</v>
          </cell>
          <cell r="J2056">
            <v>1.63</v>
          </cell>
          <cell r="K2056" t="str">
            <v>Medium</v>
          </cell>
          <cell r="AB2056">
            <v>0</v>
          </cell>
        </row>
        <row r="2057">
          <cell r="B2057" t="str">
            <v>Iniya Priya</v>
          </cell>
          <cell r="I2057" t="str">
            <v>Correct</v>
          </cell>
          <cell r="J2057">
            <v>2.19</v>
          </cell>
          <cell r="K2057" t="str">
            <v>High</v>
          </cell>
          <cell r="AB2057">
            <v>2.74</v>
          </cell>
        </row>
        <row r="2058">
          <cell r="B2058" t="str">
            <v>Iniya Priya</v>
          </cell>
          <cell r="I2058" t="str">
            <v>Wrong</v>
          </cell>
          <cell r="J2058">
            <v>2.06</v>
          </cell>
          <cell r="K2058" t="str">
            <v>High</v>
          </cell>
          <cell r="AB2058">
            <v>0</v>
          </cell>
        </row>
        <row r="2059">
          <cell r="B2059" t="str">
            <v>Iniya Priya</v>
          </cell>
          <cell r="I2059" t="str">
            <v>Wrong</v>
          </cell>
          <cell r="J2059">
            <v>1.53</v>
          </cell>
          <cell r="K2059" t="str">
            <v>High</v>
          </cell>
          <cell r="AB2059">
            <v>0</v>
          </cell>
        </row>
        <row r="2060">
          <cell r="B2060" t="str">
            <v>Iniya Priya</v>
          </cell>
          <cell r="I2060" t="str">
            <v>Correct</v>
          </cell>
          <cell r="J2060">
            <v>1.87</v>
          </cell>
          <cell r="K2060" t="str">
            <v>High</v>
          </cell>
          <cell r="AB2060">
            <v>3</v>
          </cell>
        </row>
        <row r="2061">
          <cell r="B2061" t="str">
            <v>Iniya Priya</v>
          </cell>
          <cell r="I2061" t="str">
            <v>Wrong</v>
          </cell>
          <cell r="J2061">
            <v>2.35</v>
          </cell>
          <cell r="K2061" t="str">
            <v>High</v>
          </cell>
          <cell r="AB2061">
            <v>0</v>
          </cell>
        </row>
        <row r="2062">
          <cell r="B2062" t="str">
            <v>Jeevitha R</v>
          </cell>
          <cell r="I2062" t="str">
            <v>Correct</v>
          </cell>
          <cell r="J2062">
            <v>1.52</v>
          </cell>
          <cell r="K2062" t="str">
            <v>Low</v>
          </cell>
          <cell r="AB2062">
            <v>1.97</v>
          </cell>
        </row>
        <row r="2063">
          <cell r="B2063" t="str">
            <v>Jeevitha R</v>
          </cell>
          <cell r="I2063" t="str">
            <v>Correct</v>
          </cell>
          <cell r="J2063">
            <v>0.92</v>
          </cell>
          <cell r="K2063" t="str">
            <v>Low</v>
          </cell>
          <cell r="AB2063">
            <v>1</v>
          </cell>
        </row>
        <row r="2064">
          <cell r="B2064" t="str">
            <v>Jeevitha R</v>
          </cell>
          <cell r="I2064" t="str">
            <v>Wrong</v>
          </cell>
          <cell r="J2064">
            <v>1.35</v>
          </cell>
          <cell r="K2064" t="str">
            <v>Low</v>
          </cell>
          <cell r="AB2064">
            <v>0</v>
          </cell>
        </row>
        <row r="2065">
          <cell r="B2065" t="str">
            <v>Jeevitha R</v>
          </cell>
          <cell r="I2065" t="str">
            <v>Correct</v>
          </cell>
          <cell r="J2065">
            <v>1.77</v>
          </cell>
          <cell r="K2065" t="str">
            <v>Low</v>
          </cell>
          <cell r="AB2065">
            <v>0.85</v>
          </cell>
        </row>
        <row r="2066">
          <cell r="B2066" t="str">
            <v>Jeevitha R</v>
          </cell>
          <cell r="I2066" t="str">
            <v>Wrong</v>
          </cell>
          <cell r="J2066">
            <v>1.8</v>
          </cell>
          <cell r="K2066" t="str">
            <v>Low</v>
          </cell>
          <cell r="AB2066">
            <v>0</v>
          </cell>
        </row>
        <row r="2067">
          <cell r="B2067" t="str">
            <v>Jeevitha R</v>
          </cell>
          <cell r="I2067" t="str">
            <v>Correct</v>
          </cell>
          <cell r="J2067">
            <v>1.93</v>
          </cell>
          <cell r="K2067" t="str">
            <v>Low</v>
          </cell>
          <cell r="AB2067">
            <v>1.55</v>
          </cell>
        </row>
        <row r="2068">
          <cell r="B2068" t="str">
            <v>Jeevitha R</v>
          </cell>
          <cell r="I2068" t="str">
            <v>Wrong</v>
          </cell>
          <cell r="J2068">
            <v>1.49</v>
          </cell>
          <cell r="K2068" t="str">
            <v>Low</v>
          </cell>
          <cell r="AB2068">
            <v>0</v>
          </cell>
        </row>
        <row r="2069">
          <cell r="B2069" t="str">
            <v>Jeevitha R</v>
          </cell>
          <cell r="I2069" t="str">
            <v>Wrong</v>
          </cell>
          <cell r="J2069">
            <v>1.82</v>
          </cell>
          <cell r="K2069" t="str">
            <v>Low</v>
          </cell>
          <cell r="AB2069">
            <v>0</v>
          </cell>
        </row>
        <row r="2070">
          <cell r="B2070" t="str">
            <v>Jeevitha R</v>
          </cell>
          <cell r="I2070" t="str">
            <v>Wrong</v>
          </cell>
          <cell r="J2070">
            <v>1.1000000000000001</v>
          </cell>
          <cell r="K2070" t="str">
            <v>Low</v>
          </cell>
          <cell r="AB2070">
            <v>0</v>
          </cell>
        </row>
        <row r="2071">
          <cell r="B2071" t="str">
            <v>Jeevitha R</v>
          </cell>
          <cell r="I2071" t="str">
            <v>Correct</v>
          </cell>
          <cell r="J2071">
            <v>1.24</v>
          </cell>
          <cell r="K2071" t="str">
            <v>Medium</v>
          </cell>
          <cell r="AB2071">
            <v>2</v>
          </cell>
        </row>
        <row r="2072">
          <cell r="B2072" t="str">
            <v>Jeevitha R</v>
          </cell>
          <cell r="I2072" t="str">
            <v>Wrong</v>
          </cell>
          <cell r="J2072">
            <v>1.7</v>
          </cell>
          <cell r="K2072" t="str">
            <v>Medium</v>
          </cell>
          <cell r="AB2072">
            <v>0</v>
          </cell>
        </row>
        <row r="2073">
          <cell r="B2073" t="str">
            <v>Jeevitha R</v>
          </cell>
          <cell r="I2073" t="str">
            <v>Wrong</v>
          </cell>
          <cell r="J2073">
            <v>1.53</v>
          </cell>
          <cell r="K2073" t="str">
            <v>Medium</v>
          </cell>
          <cell r="AB2073">
            <v>0</v>
          </cell>
        </row>
        <row r="2074">
          <cell r="B2074" t="str">
            <v>Jeevitha R</v>
          </cell>
          <cell r="I2074" t="str">
            <v>Wrong</v>
          </cell>
          <cell r="J2074">
            <v>1.74</v>
          </cell>
          <cell r="K2074" t="str">
            <v>Medium</v>
          </cell>
          <cell r="AB2074">
            <v>0</v>
          </cell>
        </row>
        <row r="2075">
          <cell r="B2075" t="str">
            <v>Jeevitha R</v>
          </cell>
          <cell r="I2075" t="str">
            <v>Wrong</v>
          </cell>
          <cell r="J2075">
            <v>1.1399999999999999</v>
          </cell>
          <cell r="K2075" t="str">
            <v>Medium</v>
          </cell>
          <cell r="AB2075">
            <v>0</v>
          </cell>
        </row>
        <row r="2076">
          <cell r="B2076" t="str">
            <v>Jeevitha R</v>
          </cell>
          <cell r="I2076" t="str">
            <v>Wrong</v>
          </cell>
          <cell r="J2076">
            <v>2</v>
          </cell>
          <cell r="K2076" t="str">
            <v>Medium</v>
          </cell>
          <cell r="AB2076">
            <v>0</v>
          </cell>
        </row>
        <row r="2077">
          <cell r="B2077" t="str">
            <v>Jeevitha R</v>
          </cell>
          <cell r="I2077" t="str">
            <v>Correct</v>
          </cell>
          <cell r="J2077">
            <v>1.67</v>
          </cell>
          <cell r="K2077" t="str">
            <v>High</v>
          </cell>
          <cell r="AB2077">
            <v>3</v>
          </cell>
        </row>
        <row r="2078">
          <cell r="B2078" t="str">
            <v>Jeevitha R</v>
          </cell>
          <cell r="I2078" t="str">
            <v>Correct</v>
          </cell>
          <cell r="J2078">
            <v>2.42</v>
          </cell>
          <cell r="K2078" t="str">
            <v>High</v>
          </cell>
          <cell r="AB2078">
            <v>2.48</v>
          </cell>
        </row>
        <row r="2079">
          <cell r="B2079" t="str">
            <v>Jeevitha R</v>
          </cell>
          <cell r="I2079" t="str">
            <v>Wrong</v>
          </cell>
          <cell r="J2079">
            <v>1.96</v>
          </cell>
          <cell r="K2079" t="str">
            <v>High</v>
          </cell>
          <cell r="AB2079">
            <v>0</v>
          </cell>
        </row>
        <row r="2080">
          <cell r="B2080" t="str">
            <v>Jeevitha R</v>
          </cell>
          <cell r="I2080" t="str">
            <v>Wrong</v>
          </cell>
          <cell r="J2080">
            <v>1.22</v>
          </cell>
          <cell r="K2080" t="str">
            <v>High</v>
          </cell>
          <cell r="AB2080">
            <v>0</v>
          </cell>
        </row>
        <row r="2081">
          <cell r="B2081" t="str">
            <v>Jeevitha R</v>
          </cell>
          <cell r="I2081" t="str">
            <v>Wrong</v>
          </cell>
          <cell r="J2081">
            <v>1.6</v>
          </cell>
          <cell r="K2081" t="str">
            <v>High</v>
          </cell>
          <cell r="AB2081">
            <v>0</v>
          </cell>
        </row>
        <row r="2082">
          <cell r="B2082" t="str">
            <v>Kabilan S</v>
          </cell>
          <cell r="I2082" t="str">
            <v>Correct</v>
          </cell>
          <cell r="J2082">
            <v>1.5</v>
          </cell>
          <cell r="K2082" t="str">
            <v>Low</v>
          </cell>
          <cell r="AB2082">
            <v>2</v>
          </cell>
        </row>
        <row r="2083">
          <cell r="B2083" t="str">
            <v>Kabilan S</v>
          </cell>
          <cell r="I2083" t="str">
            <v>Wrong</v>
          </cell>
          <cell r="J2083">
            <v>1.59</v>
          </cell>
          <cell r="K2083" t="str">
            <v>Low</v>
          </cell>
          <cell r="AB2083">
            <v>0</v>
          </cell>
        </row>
        <row r="2084">
          <cell r="B2084" t="str">
            <v>Kabilan S</v>
          </cell>
          <cell r="I2084" t="str">
            <v>Correct</v>
          </cell>
          <cell r="J2084">
            <v>1.76</v>
          </cell>
          <cell r="K2084" t="str">
            <v>Low</v>
          </cell>
          <cell r="AB2084">
            <v>1.7</v>
          </cell>
        </row>
        <row r="2085">
          <cell r="B2085" t="str">
            <v>Kabilan S</v>
          </cell>
          <cell r="I2085" t="str">
            <v>Correct</v>
          </cell>
          <cell r="J2085">
            <v>1.25</v>
          </cell>
          <cell r="K2085" t="str">
            <v>Low</v>
          </cell>
          <cell r="AB2085">
            <v>1</v>
          </cell>
        </row>
        <row r="2086">
          <cell r="B2086" t="str">
            <v>Kabilan S</v>
          </cell>
          <cell r="I2086" t="str">
            <v>Correct</v>
          </cell>
          <cell r="J2086">
            <v>1.8</v>
          </cell>
          <cell r="K2086" t="str">
            <v>Low</v>
          </cell>
          <cell r="AB2086">
            <v>0.83</v>
          </cell>
        </row>
        <row r="2087">
          <cell r="B2087" t="str">
            <v>Kabilan S</v>
          </cell>
          <cell r="I2087" t="str">
            <v>Correct</v>
          </cell>
          <cell r="J2087">
            <v>1.46</v>
          </cell>
          <cell r="K2087" t="str">
            <v>Low</v>
          </cell>
          <cell r="AB2087">
            <v>2</v>
          </cell>
        </row>
        <row r="2088">
          <cell r="B2088" t="str">
            <v>Kabilan S</v>
          </cell>
          <cell r="I2088" t="str">
            <v>Wrong</v>
          </cell>
          <cell r="J2088">
            <v>1.91</v>
          </cell>
          <cell r="K2088" t="str">
            <v>Low</v>
          </cell>
          <cell r="AB2088">
            <v>0</v>
          </cell>
        </row>
        <row r="2089">
          <cell r="B2089" t="str">
            <v>Kabilan S</v>
          </cell>
          <cell r="I2089" t="str">
            <v>Correct</v>
          </cell>
          <cell r="J2089">
            <v>1.43</v>
          </cell>
          <cell r="K2089" t="str">
            <v>Low</v>
          </cell>
          <cell r="AB2089">
            <v>2</v>
          </cell>
        </row>
        <row r="2090">
          <cell r="B2090" t="str">
            <v>Kabilan S</v>
          </cell>
          <cell r="I2090" t="str">
            <v>Wrong</v>
          </cell>
          <cell r="J2090">
            <v>1.96</v>
          </cell>
          <cell r="K2090" t="str">
            <v>Low</v>
          </cell>
          <cell r="AB2090">
            <v>0</v>
          </cell>
        </row>
        <row r="2091">
          <cell r="B2091" t="str">
            <v>Kabilan S</v>
          </cell>
          <cell r="I2091" t="str">
            <v>Correct</v>
          </cell>
          <cell r="J2091">
            <v>2.21</v>
          </cell>
          <cell r="K2091" t="str">
            <v>Medium</v>
          </cell>
          <cell r="AB2091">
            <v>1.63</v>
          </cell>
        </row>
        <row r="2092">
          <cell r="B2092" t="str">
            <v>Kabilan S</v>
          </cell>
          <cell r="I2092" t="str">
            <v>Correct</v>
          </cell>
          <cell r="J2092">
            <v>2.08</v>
          </cell>
          <cell r="K2092" t="str">
            <v>Medium</v>
          </cell>
          <cell r="AB2092">
            <v>1.73</v>
          </cell>
        </row>
        <row r="2093">
          <cell r="B2093" t="str">
            <v>Kabilan S</v>
          </cell>
          <cell r="I2093" t="str">
            <v>Correct</v>
          </cell>
          <cell r="J2093">
            <v>1.18</v>
          </cell>
          <cell r="K2093" t="str">
            <v>Medium</v>
          </cell>
          <cell r="AB2093">
            <v>2</v>
          </cell>
        </row>
        <row r="2094">
          <cell r="B2094" t="str">
            <v>Kabilan S</v>
          </cell>
          <cell r="I2094" t="str">
            <v>Wrong</v>
          </cell>
          <cell r="J2094">
            <v>1.35</v>
          </cell>
          <cell r="K2094" t="str">
            <v>Medium</v>
          </cell>
          <cell r="AB2094">
            <v>0</v>
          </cell>
        </row>
        <row r="2095">
          <cell r="B2095" t="str">
            <v>Kabilan S</v>
          </cell>
          <cell r="I2095" t="str">
            <v>Wrong</v>
          </cell>
          <cell r="J2095">
            <v>1.1000000000000001</v>
          </cell>
          <cell r="K2095" t="str">
            <v>Medium</v>
          </cell>
          <cell r="AB2095">
            <v>0</v>
          </cell>
        </row>
        <row r="2096">
          <cell r="B2096" t="str">
            <v>Kabilan S</v>
          </cell>
          <cell r="I2096" t="str">
            <v>Correct</v>
          </cell>
          <cell r="J2096">
            <v>2.27</v>
          </cell>
          <cell r="K2096" t="str">
            <v>Medium</v>
          </cell>
          <cell r="AB2096">
            <v>1.59</v>
          </cell>
        </row>
        <row r="2097">
          <cell r="B2097" t="str">
            <v>Kabilan S</v>
          </cell>
          <cell r="I2097" t="str">
            <v>Wrong</v>
          </cell>
          <cell r="J2097">
            <v>2.38</v>
          </cell>
          <cell r="K2097" t="str">
            <v>High</v>
          </cell>
          <cell r="AB2097">
            <v>0</v>
          </cell>
        </row>
        <row r="2098">
          <cell r="B2098" t="str">
            <v>Kabilan S</v>
          </cell>
          <cell r="I2098" t="str">
            <v>Correct</v>
          </cell>
          <cell r="J2098">
            <v>1.33</v>
          </cell>
          <cell r="K2098" t="str">
            <v>High</v>
          </cell>
          <cell r="AB2098">
            <v>3</v>
          </cell>
        </row>
        <row r="2099">
          <cell r="B2099" t="str">
            <v>Kabilan S</v>
          </cell>
          <cell r="I2099" t="str">
            <v>Correct</v>
          </cell>
          <cell r="J2099">
            <v>2.11</v>
          </cell>
          <cell r="K2099" t="str">
            <v>High</v>
          </cell>
          <cell r="AB2099">
            <v>2.84</v>
          </cell>
        </row>
        <row r="2100">
          <cell r="B2100" t="str">
            <v>Kabilan S</v>
          </cell>
          <cell r="I2100" t="str">
            <v>Wrong</v>
          </cell>
          <cell r="J2100">
            <v>2.33</v>
          </cell>
          <cell r="K2100" t="str">
            <v>High</v>
          </cell>
          <cell r="AB2100">
            <v>0</v>
          </cell>
        </row>
        <row r="2101">
          <cell r="B2101" t="str">
            <v>Kabilan S</v>
          </cell>
          <cell r="I2101" t="str">
            <v>Wrong</v>
          </cell>
          <cell r="J2101">
            <v>1.63</v>
          </cell>
          <cell r="K2101" t="str">
            <v>High</v>
          </cell>
          <cell r="AB2101">
            <v>0</v>
          </cell>
        </row>
        <row r="2102">
          <cell r="B2102" t="str">
            <v>Mahalakshmi P</v>
          </cell>
          <cell r="I2102" t="str">
            <v>Correct</v>
          </cell>
          <cell r="J2102">
            <v>1.42</v>
          </cell>
          <cell r="K2102" t="str">
            <v>Low</v>
          </cell>
          <cell r="AB2102">
            <v>2</v>
          </cell>
        </row>
        <row r="2103">
          <cell r="B2103" t="str">
            <v>Mahalakshmi P</v>
          </cell>
          <cell r="I2103" t="str">
            <v>Correct</v>
          </cell>
          <cell r="J2103">
            <v>1.79</v>
          </cell>
          <cell r="K2103" t="str">
            <v>Low</v>
          </cell>
          <cell r="AB2103">
            <v>0.84</v>
          </cell>
        </row>
        <row r="2104">
          <cell r="B2104" t="str">
            <v>Mahalakshmi P</v>
          </cell>
          <cell r="I2104" t="str">
            <v>Wrong</v>
          </cell>
          <cell r="J2104">
            <v>1.4</v>
          </cell>
          <cell r="K2104" t="str">
            <v>Low</v>
          </cell>
          <cell r="AB2104">
            <v>0</v>
          </cell>
        </row>
        <row r="2105">
          <cell r="B2105" t="str">
            <v>Mahalakshmi P</v>
          </cell>
          <cell r="I2105" t="str">
            <v>Correct</v>
          </cell>
          <cell r="J2105">
            <v>1.31</v>
          </cell>
          <cell r="K2105" t="str">
            <v>Low</v>
          </cell>
          <cell r="AB2105">
            <v>1</v>
          </cell>
        </row>
        <row r="2106">
          <cell r="B2106" t="str">
            <v>Mahalakshmi P</v>
          </cell>
          <cell r="I2106" t="str">
            <v>Correct</v>
          </cell>
          <cell r="J2106">
            <v>1.83</v>
          </cell>
          <cell r="K2106" t="str">
            <v>Low</v>
          </cell>
          <cell r="AB2106">
            <v>0.82</v>
          </cell>
        </row>
        <row r="2107">
          <cell r="B2107" t="str">
            <v>Mahalakshmi P</v>
          </cell>
          <cell r="I2107" t="str">
            <v>Wrong</v>
          </cell>
          <cell r="J2107">
            <v>1.18</v>
          </cell>
          <cell r="K2107" t="str">
            <v>Low</v>
          </cell>
          <cell r="AB2107">
            <v>0</v>
          </cell>
        </row>
        <row r="2108">
          <cell r="B2108" t="str">
            <v>Mahalakshmi P</v>
          </cell>
          <cell r="I2108" t="str">
            <v>Correct</v>
          </cell>
          <cell r="J2108">
            <v>1.32</v>
          </cell>
          <cell r="K2108" t="str">
            <v>Low</v>
          </cell>
          <cell r="AB2108">
            <v>1</v>
          </cell>
        </row>
        <row r="2109">
          <cell r="B2109" t="str">
            <v>Mahalakshmi P</v>
          </cell>
          <cell r="I2109" t="str">
            <v>Correct</v>
          </cell>
          <cell r="J2109">
            <v>1.04</v>
          </cell>
          <cell r="K2109" t="str">
            <v>Low</v>
          </cell>
          <cell r="AB2109">
            <v>2</v>
          </cell>
        </row>
        <row r="2110">
          <cell r="B2110" t="str">
            <v>Mahalakshmi P</v>
          </cell>
          <cell r="I2110" t="str">
            <v>Wrong</v>
          </cell>
          <cell r="J2110">
            <v>1.85</v>
          </cell>
          <cell r="K2110" t="str">
            <v>Low</v>
          </cell>
          <cell r="AB2110">
            <v>0</v>
          </cell>
        </row>
        <row r="2111">
          <cell r="B2111" t="str">
            <v>Mahalakshmi P</v>
          </cell>
          <cell r="I2111" t="str">
            <v>Wrong</v>
          </cell>
          <cell r="J2111">
            <v>1.1499999999999999</v>
          </cell>
          <cell r="K2111" t="str">
            <v>Medium</v>
          </cell>
          <cell r="AB2111">
            <v>0</v>
          </cell>
        </row>
        <row r="2112">
          <cell r="B2112" t="str">
            <v>Mahalakshmi P</v>
          </cell>
          <cell r="I2112" t="str">
            <v>Correct</v>
          </cell>
          <cell r="J2112">
            <v>2.14</v>
          </cell>
          <cell r="K2112" t="str">
            <v>Medium</v>
          </cell>
          <cell r="AB2112">
            <v>1.68</v>
          </cell>
        </row>
        <row r="2113">
          <cell r="B2113" t="str">
            <v>Mahalakshmi P</v>
          </cell>
          <cell r="I2113" t="str">
            <v>Wrong</v>
          </cell>
          <cell r="J2113">
            <v>1.6</v>
          </cell>
          <cell r="K2113" t="str">
            <v>Medium</v>
          </cell>
          <cell r="AB2113">
            <v>0</v>
          </cell>
        </row>
        <row r="2114">
          <cell r="B2114" t="str">
            <v>Mahalakshmi P</v>
          </cell>
          <cell r="I2114" t="str">
            <v>Wrong</v>
          </cell>
          <cell r="J2114">
            <v>1.97</v>
          </cell>
          <cell r="K2114" t="str">
            <v>Medium</v>
          </cell>
          <cell r="AB2114">
            <v>0</v>
          </cell>
        </row>
        <row r="2115">
          <cell r="B2115" t="str">
            <v>Mahalakshmi P</v>
          </cell>
          <cell r="I2115" t="str">
            <v>Wrong</v>
          </cell>
          <cell r="J2115">
            <v>1.47</v>
          </cell>
          <cell r="K2115" t="str">
            <v>Medium</v>
          </cell>
          <cell r="AB2115">
            <v>0</v>
          </cell>
        </row>
        <row r="2116">
          <cell r="B2116" t="str">
            <v>Mahalakshmi P</v>
          </cell>
          <cell r="I2116" t="str">
            <v>Wrong</v>
          </cell>
          <cell r="J2116">
            <v>1.69</v>
          </cell>
          <cell r="K2116" t="str">
            <v>Medium</v>
          </cell>
          <cell r="AB2116">
            <v>0</v>
          </cell>
        </row>
        <row r="2117">
          <cell r="B2117" t="str">
            <v>Mahalakshmi P</v>
          </cell>
          <cell r="I2117" t="str">
            <v>Wrong</v>
          </cell>
          <cell r="J2117">
            <v>2.56</v>
          </cell>
          <cell r="K2117" t="str">
            <v>High</v>
          </cell>
          <cell r="AB2117">
            <v>0</v>
          </cell>
        </row>
        <row r="2118">
          <cell r="B2118" t="str">
            <v>Mahalakshmi P</v>
          </cell>
          <cell r="I2118" t="str">
            <v>Correct</v>
          </cell>
          <cell r="J2118">
            <v>2.41</v>
          </cell>
          <cell r="K2118" t="str">
            <v>High</v>
          </cell>
          <cell r="AB2118">
            <v>2.4900000000000002</v>
          </cell>
        </row>
        <row r="2119">
          <cell r="B2119" t="str">
            <v>Mahalakshmi P</v>
          </cell>
          <cell r="I2119" t="str">
            <v>Wrong</v>
          </cell>
          <cell r="J2119">
            <v>2.37</v>
          </cell>
          <cell r="K2119" t="str">
            <v>High</v>
          </cell>
          <cell r="AB2119">
            <v>0</v>
          </cell>
        </row>
        <row r="2120">
          <cell r="B2120" t="str">
            <v>Mahalakshmi P</v>
          </cell>
          <cell r="I2120" t="str">
            <v>Wrong</v>
          </cell>
          <cell r="J2120">
            <v>2.27</v>
          </cell>
          <cell r="K2120" t="str">
            <v>High</v>
          </cell>
          <cell r="AB2120">
            <v>0</v>
          </cell>
        </row>
        <row r="2121">
          <cell r="B2121" t="str">
            <v>Mahalakshmi P</v>
          </cell>
          <cell r="I2121" t="str">
            <v>Wrong</v>
          </cell>
          <cell r="J2121">
            <v>1.37</v>
          </cell>
          <cell r="K2121" t="str">
            <v>High</v>
          </cell>
          <cell r="AB2121">
            <v>0</v>
          </cell>
        </row>
        <row r="2122">
          <cell r="B2122" t="str">
            <v>Naveena K</v>
          </cell>
          <cell r="I2122" t="str">
            <v>Wrong</v>
          </cell>
          <cell r="J2122">
            <v>2</v>
          </cell>
          <cell r="K2122" t="str">
            <v>Low</v>
          </cell>
          <cell r="AB2122">
            <v>0</v>
          </cell>
        </row>
        <row r="2123">
          <cell r="B2123" t="str">
            <v>Naveena K</v>
          </cell>
          <cell r="I2123" t="str">
            <v>Wrong</v>
          </cell>
          <cell r="J2123">
            <v>1.54</v>
          </cell>
          <cell r="K2123" t="str">
            <v>Low</v>
          </cell>
          <cell r="AB2123">
            <v>0</v>
          </cell>
        </row>
        <row r="2124">
          <cell r="B2124" t="str">
            <v>Naveena K</v>
          </cell>
          <cell r="I2124" t="str">
            <v>Correct</v>
          </cell>
          <cell r="J2124">
            <v>1.07</v>
          </cell>
          <cell r="K2124" t="str">
            <v>Low</v>
          </cell>
          <cell r="AB2124">
            <v>2</v>
          </cell>
        </row>
        <row r="2125">
          <cell r="B2125" t="str">
            <v>Naveena K</v>
          </cell>
          <cell r="I2125" t="str">
            <v>Correct</v>
          </cell>
          <cell r="J2125">
            <v>1.69</v>
          </cell>
          <cell r="K2125" t="str">
            <v>Low</v>
          </cell>
          <cell r="AB2125">
            <v>0.89</v>
          </cell>
        </row>
        <row r="2126">
          <cell r="B2126" t="str">
            <v>Naveena K</v>
          </cell>
          <cell r="I2126" t="str">
            <v>Correct</v>
          </cell>
          <cell r="J2126">
            <v>1.61</v>
          </cell>
          <cell r="K2126" t="str">
            <v>Low</v>
          </cell>
          <cell r="AB2126">
            <v>0.93</v>
          </cell>
        </row>
        <row r="2127">
          <cell r="B2127" t="str">
            <v>Naveena K</v>
          </cell>
          <cell r="I2127" t="str">
            <v>Correct</v>
          </cell>
          <cell r="J2127">
            <v>1.74</v>
          </cell>
          <cell r="K2127" t="str">
            <v>Low</v>
          </cell>
          <cell r="AB2127">
            <v>1.72</v>
          </cell>
        </row>
        <row r="2128">
          <cell r="B2128" t="str">
            <v>Naveena K</v>
          </cell>
          <cell r="I2128" t="str">
            <v>Correct</v>
          </cell>
          <cell r="J2128">
            <v>1.39</v>
          </cell>
          <cell r="K2128" t="str">
            <v>Low</v>
          </cell>
          <cell r="AB2128">
            <v>1</v>
          </cell>
        </row>
        <row r="2129">
          <cell r="B2129" t="str">
            <v>Naveena K</v>
          </cell>
          <cell r="I2129" t="str">
            <v>Correct</v>
          </cell>
          <cell r="J2129">
            <v>1.18</v>
          </cell>
          <cell r="K2129" t="str">
            <v>Low</v>
          </cell>
          <cell r="AB2129">
            <v>2</v>
          </cell>
        </row>
        <row r="2130">
          <cell r="B2130" t="str">
            <v>Naveena K</v>
          </cell>
          <cell r="I2130" t="str">
            <v>Correct</v>
          </cell>
          <cell r="J2130">
            <v>1.37</v>
          </cell>
          <cell r="K2130" t="str">
            <v>Low</v>
          </cell>
          <cell r="AB2130">
            <v>2</v>
          </cell>
        </row>
        <row r="2131">
          <cell r="B2131" t="str">
            <v>Naveena K</v>
          </cell>
          <cell r="I2131" t="str">
            <v>Correct</v>
          </cell>
          <cell r="J2131">
            <v>1.53</v>
          </cell>
          <cell r="K2131" t="str">
            <v>Medium</v>
          </cell>
          <cell r="AB2131">
            <v>2</v>
          </cell>
        </row>
        <row r="2132">
          <cell r="B2132" t="str">
            <v>Naveena K</v>
          </cell>
          <cell r="I2132" t="str">
            <v>Wrong</v>
          </cell>
          <cell r="J2132">
            <v>2.19</v>
          </cell>
          <cell r="K2132" t="str">
            <v>Medium</v>
          </cell>
          <cell r="AB2132">
            <v>0</v>
          </cell>
        </row>
        <row r="2133">
          <cell r="B2133" t="str">
            <v>Naveena K</v>
          </cell>
          <cell r="I2133" t="str">
            <v>Wrong</v>
          </cell>
          <cell r="J2133">
            <v>1.1599999999999999</v>
          </cell>
          <cell r="K2133" t="str">
            <v>Medium</v>
          </cell>
          <cell r="AB2133">
            <v>0</v>
          </cell>
        </row>
        <row r="2134">
          <cell r="B2134" t="str">
            <v>Naveena K</v>
          </cell>
          <cell r="I2134" t="str">
            <v>Correct</v>
          </cell>
          <cell r="J2134">
            <v>1.91</v>
          </cell>
          <cell r="K2134" t="str">
            <v>Medium</v>
          </cell>
          <cell r="AB2134">
            <v>1.88</v>
          </cell>
        </row>
        <row r="2135">
          <cell r="B2135" t="str">
            <v>Naveena K</v>
          </cell>
          <cell r="I2135" t="str">
            <v>Correct</v>
          </cell>
          <cell r="J2135">
            <v>1.35</v>
          </cell>
          <cell r="K2135" t="str">
            <v>Medium</v>
          </cell>
          <cell r="AB2135">
            <v>2</v>
          </cell>
        </row>
        <row r="2136">
          <cell r="B2136" t="str">
            <v>Naveena K</v>
          </cell>
          <cell r="I2136" t="str">
            <v>Correct</v>
          </cell>
          <cell r="J2136">
            <v>1.1599999999999999</v>
          </cell>
          <cell r="K2136" t="str">
            <v>Medium</v>
          </cell>
          <cell r="AB2136">
            <v>2</v>
          </cell>
        </row>
        <row r="2137">
          <cell r="B2137" t="str">
            <v>Naveena K</v>
          </cell>
          <cell r="I2137" t="str">
            <v>Correct</v>
          </cell>
          <cell r="J2137">
            <v>1.59</v>
          </cell>
          <cell r="K2137" t="str">
            <v>High</v>
          </cell>
          <cell r="AB2137">
            <v>3</v>
          </cell>
        </row>
        <row r="2138">
          <cell r="B2138" t="str">
            <v>Naveena K</v>
          </cell>
          <cell r="I2138" t="str">
            <v>Correct</v>
          </cell>
          <cell r="J2138">
            <v>2.04</v>
          </cell>
          <cell r="K2138" t="str">
            <v>High</v>
          </cell>
          <cell r="AB2138">
            <v>2.94</v>
          </cell>
        </row>
        <row r="2139">
          <cell r="B2139" t="str">
            <v>Naveena K</v>
          </cell>
          <cell r="I2139" t="str">
            <v>Wrong</v>
          </cell>
          <cell r="J2139">
            <v>2.2000000000000002</v>
          </cell>
          <cell r="K2139" t="str">
            <v>High</v>
          </cell>
          <cell r="AB2139">
            <v>0</v>
          </cell>
        </row>
        <row r="2140">
          <cell r="B2140" t="str">
            <v>Naveena K</v>
          </cell>
          <cell r="I2140" t="str">
            <v>Wrong</v>
          </cell>
          <cell r="J2140">
            <v>1.94</v>
          </cell>
          <cell r="K2140" t="str">
            <v>High</v>
          </cell>
          <cell r="AB2140">
            <v>0</v>
          </cell>
        </row>
        <row r="2141">
          <cell r="B2141" t="str">
            <v>Naveena K</v>
          </cell>
          <cell r="I2141" t="str">
            <v>Wrong</v>
          </cell>
          <cell r="J2141">
            <v>1.6</v>
          </cell>
          <cell r="K2141" t="str">
            <v>High</v>
          </cell>
          <cell r="AB2141">
            <v>0</v>
          </cell>
        </row>
        <row r="2142">
          <cell r="B2142" t="str">
            <v>Pranesh Kumar</v>
          </cell>
          <cell r="I2142" t="str">
            <v>Correct</v>
          </cell>
          <cell r="J2142">
            <v>1.41</v>
          </cell>
          <cell r="K2142" t="str">
            <v>Low</v>
          </cell>
          <cell r="AB2142">
            <v>2</v>
          </cell>
        </row>
        <row r="2143">
          <cell r="B2143" t="str">
            <v>Pranesh Kumar</v>
          </cell>
          <cell r="I2143" t="str">
            <v>Correct</v>
          </cell>
          <cell r="J2143">
            <v>1.73</v>
          </cell>
          <cell r="K2143" t="str">
            <v>Low</v>
          </cell>
          <cell r="AB2143">
            <v>0.87</v>
          </cell>
        </row>
        <row r="2144">
          <cell r="B2144" t="str">
            <v>Pranesh Kumar</v>
          </cell>
          <cell r="I2144" t="str">
            <v>Correct</v>
          </cell>
          <cell r="J2144">
            <v>1.83</v>
          </cell>
          <cell r="K2144" t="str">
            <v>Low</v>
          </cell>
          <cell r="AB2144">
            <v>1.64</v>
          </cell>
        </row>
        <row r="2145">
          <cell r="B2145" t="str">
            <v>Pranesh Kumar</v>
          </cell>
          <cell r="I2145" t="str">
            <v>Correct</v>
          </cell>
          <cell r="J2145">
            <v>0.96</v>
          </cell>
          <cell r="K2145" t="str">
            <v>Low</v>
          </cell>
          <cell r="AB2145">
            <v>1</v>
          </cell>
        </row>
        <row r="2146">
          <cell r="B2146" t="str">
            <v>Pranesh Kumar</v>
          </cell>
          <cell r="I2146" t="str">
            <v>Correct</v>
          </cell>
          <cell r="J2146">
            <v>1.76</v>
          </cell>
          <cell r="K2146" t="str">
            <v>Low</v>
          </cell>
          <cell r="AB2146">
            <v>0.85</v>
          </cell>
        </row>
        <row r="2147">
          <cell r="B2147" t="str">
            <v>Pranesh Kumar</v>
          </cell>
          <cell r="I2147" t="str">
            <v>Wrong</v>
          </cell>
          <cell r="J2147">
            <v>1.91</v>
          </cell>
          <cell r="K2147" t="str">
            <v>Low</v>
          </cell>
          <cell r="AB2147">
            <v>0</v>
          </cell>
        </row>
        <row r="2148">
          <cell r="B2148" t="str">
            <v>Pranesh Kumar</v>
          </cell>
          <cell r="I2148" t="str">
            <v>Correct</v>
          </cell>
          <cell r="J2148">
            <v>1.89</v>
          </cell>
          <cell r="K2148" t="str">
            <v>Low</v>
          </cell>
          <cell r="AB2148">
            <v>0.79</v>
          </cell>
        </row>
        <row r="2149">
          <cell r="B2149" t="str">
            <v>Pranesh Kumar</v>
          </cell>
          <cell r="I2149" t="str">
            <v>Correct</v>
          </cell>
          <cell r="J2149">
            <v>1.47</v>
          </cell>
          <cell r="K2149" t="str">
            <v>Low</v>
          </cell>
          <cell r="AB2149">
            <v>2</v>
          </cell>
        </row>
        <row r="2150">
          <cell r="B2150" t="str">
            <v>Pranesh Kumar</v>
          </cell>
          <cell r="I2150" t="str">
            <v>Wrong</v>
          </cell>
          <cell r="J2150">
            <v>1.06</v>
          </cell>
          <cell r="K2150" t="str">
            <v>Low</v>
          </cell>
          <cell r="AB2150">
            <v>0</v>
          </cell>
        </row>
        <row r="2151">
          <cell r="B2151" t="str">
            <v>Pranesh Kumar</v>
          </cell>
          <cell r="I2151" t="str">
            <v>Wrong</v>
          </cell>
          <cell r="J2151">
            <v>2.29</v>
          </cell>
          <cell r="K2151" t="str">
            <v>Medium</v>
          </cell>
          <cell r="AB2151">
            <v>0</v>
          </cell>
        </row>
        <row r="2152">
          <cell r="B2152" t="str">
            <v>Pranesh Kumar</v>
          </cell>
          <cell r="I2152" t="str">
            <v>Wrong</v>
          </cell>
          <cell r="J2152">
            <v>1.84</v>
          </cell>
          <cell r="K2152" t="str">
            <v>Medium</v>
          </cell>
          <cell r="AB2152">
            <v>0</v>
          </cell>
        </row>
        <row r="2153">
          <cell r="B2153" t="str">
            <v>Pranesh Kumar</v>
          </cell>
          <cell r="I2153" t="str">
            <v>Correct</v>
          </cell>
          <cell r="J2153">
            <v>2.1800000000000002</v>
          </cell>
          <cell r="K2153" t="str">
            <v>Medium</v>
          </cell>
          <cell r="AB2153">
            <v>1.65</v>
          </cell>
        </row>
        <row r="2154">
          <cell r="B2154" t="str">
            <v>Pranesh Kumar</v>
          </cell>
          <cell r="I2154" t="str">
            <v>Correct</v>
          </cell>
          <cell r="J2154">
            <v>2</v>
          </cell>
          <cell r="K2154" t="str">
            <v>Medium</v>
          </cell>
          <cell r="AB2154">
            <v>1.8</v>
          </cell>
        </row>
        <row r="2155">
          <cell r="B2155" t="str">
            <v>Pranesh Kumar</v>
          </cell>
          <cell r="I2155" t="str">
            <v>Correct</v>
          </cell>
          <cell r="J2155">
            <v>1.27</v>
          </cell>
          <cell r="K2155" t="str">
            <v>Medium</v>
          </cell>
          <cell r="AB2155">
            <v>2</v>
          </cell>
        </row>
        <row r="2156">
          <cell r="B2156" t="str">
            <v>Pranesh Kumar</v>
          </cell>
          <cell r="I2156" t="str">
            <v>Wrong</v>
          </cell>
          <cell r="J2156">
            <v>1.1299999999999999</v>
          </cell>
          <cell r="K2156" t="str">
            <v>Medium</v>
          </cell>
          <cell r="AB2156">
            <v>0</v>
          </cell>
        </row>
        <row r="2157">
          <cell r="B2157" t="str">
            <v>Pranesh Kumar</v>
          </cell>
          <cell r="I2157" t="str">
            <v>Correct</v>
          </cell>
          <cell r="J2157">
            <v>1.61</v>
          </cell>
          <cell r="K2157" t="str">
            <v>High</v>
          </cell>
          <cell r="AB2157">
            <v>3</v>
          </cell>
        </row>
        <row r="2158">
          <cell r="B2158" t="str">
            <v>Pranesh Kumar</v>
          </cell>
          <cell r="I2158" t="str">
            <v>Correct</v>
          </cell>
          <cell r="J2158">
            <v>1.3</v>
          </cell>
          <cell r="K2158" t="str">
            <v>High</v>
          </cell>
          <cell r="AB2158">
            <v>3</v>
          </cell>
        </row>
        <row r="2159">
          <cell r="B2159" t="str">
            <v>Pranesh Kumar</v>
          </cell>
          <cell r="I2159" t="str">
            <v>Wrong</v>
          </cell>
          <cell r="J2159">
            <v>1.98</v>
          </cell>
          <cell r="K2159" t="str">
            <v>High</v>
          </cell>
          <cell r="AB2159">
            <v>0</v>
          </cell>
        </row>
        <row r="2160">
          <cell r="B2160" t="str">
            <v>Pranesh Kumar</v>
          </cell>
          <cell r="I2160" t="str">
            <v>Correct</v>
          </cell>
          <cell r="J2160">
            <v>1.24</v>
          </cell>
          <cell r="K2160" t="str">
            <v>High</v>
          </cell>
          <cell r="AB2160">
            <v>3</v>
          </cell>
        </row>
        <row r="2161">
          <cell r="B2161" t="str">
            <v>Pranesh Kumar</v>
          </cell>
          <cell r="I2161" t="str">
            <v>Wrong</v>
          </cell>
          <cell r="J2161">
            <v>1.24</v>
          </cell>
          <cell r="K2161" t="str">
            <v>High</v>
          </cell>
          <cell r="AB2161">
            <v>0</v>
          </cell>
        </row>
        <row r="2162">
          <cell r="B2162" t="str">
            <v>Roshini Devi</v>
          </cell>
          <cell r="I2162" t="str">
            <v>Correct</v>
          </cell>
          <cell r="J2162">
            <v>1.55</v>
          </cell>
          <cell r="K2162" t="str">
            <v>Low</v>
          </cell>
          <cell r="AB2162">
            <v>1.94</v>
          </cell>
        </row>
        <row r="2163">
          <cell r="B2163" t="str">
            <v>Roshini Devi</v>
          </cell>
          <cell r="I2163" t="str">
            <v>Correct</v>
          </cell>
          <cell r="J2163">
            <v>1.19</v>
          </cell>
          <cell r="K2163" t="str">
            <v>Low</v>
          </cell>
          <cell r="AB2163">
            <v>1</v>
          </cell>
        </row>
        <row r="2164">
          <cell r="B2164" t="str">
            <v>Roshini Devi</v>
          </cell>
          <cell r="I2164" t="str">
            <v>Correct</v>
          </cell>
          <cell r="J2164">
            <v>1.47</v>
          </cell>
          <cell r="K2164" t="str">
            <v>Low</v>
          </cell>
          <cell r="AB2164">
            <v>2</v>
          </cell>
        </row>
        <row r="2165">
          <cell r="B2165" t="str">
            <v>Roshini Devi</v>
          </cell>
          <cell r="I2165" t="str">
            <v>Wrong</v>
          </cell>
          <cell r="J2165">
            <v>1.29</v>
          </cell>
          <cell r="K2165" t="str">
            <v>Low</v>
          </cell>
          <cell r="AB2165">
            <v>0</v>
          </cell>
        </row>
        <row r="2166">
          <cell r="B2166" t="str">
            <v>Roshini Devi</v>
          </cell>
          <cell r="I2166" t="str">
            <v>Correct</v>
          </cell>
          <cell r="J2166">
            <v>1.22</v>
          </cell>
          <cell r="K2166" t="str">
            <v>Low</v>
          </cell>
          <cell r="AB2166">
            <v>1</v>
          </cell>
        </row>
        <row r="2167">
          <cell r="B2167" t="str">
            <v>Roshini Devi</v>
          </cell>
          <cell r="I2167" t="str">
            <v>Correct</v>
          </cell>
          <cell r="J2167">
            <v>1.96</v>
          </cell>
          <cell r="K2167" t="str">
            <v>Low</v>
          </cell>
          <cell r="AB2167">
            <v>1.53</v>
          </cell>
        </row>
        <row r="2168">
          <cell r="B2168" t="str">
            <v>Roshini Devi</v>
          </cell>
          <cell r="I2168" t="str">
            <v>Correct</v>
          </cell>
          <cell r="J2168">
            <v>1.92</v>
          </cell>
          <cell r="K2168" t="str">
            <v>Low</v>
          </cell>
          <cell r="AB2168">
            <v>0.78</v>
          </cell>
        </row>
        <row r="2169">
          <cell r="B2169" t="str">
            <v>Roshini Devi</v>
          </cell>
          <cell r="I2169" t="str">
            <v>Correct</v>
          </cell>
          <cell r="J2169">
            <v>1.77</v>
          </cell>
          <cell r="K2169" t="str">
            <v>Low</v>
          </cell>
          <cell r="AB2169">
            <v>1.69</v>
          </cell>
        </row>
        <row r="2170">
          <cell r="B2170" t="str">
            <v>Roshini Devi</v>
          </cell>
          <cell r="I2170" t="str">
            <v>Wrong</v>
          </cell>
          <cell r="J2170">
            <v>1.86</v>
          </cell>
          <cell r="K2170" t="str">
            <v>Low</v>
          </cell>
          <cell r="AB2170">
            <v>0</v>
          </cell>
        </row>
        <row r="2171">
          <cell r="B2171" t="str">
            <v>Roshini Devi</v>
          </cell>
          <cell r="I2171" t="str">
            <v>Wrong</v>
          </cell>
          <cell r="J2171">
            <v>2.2400000000000002</v>
          </cell>
          <cell r="K2171" t="str">
            <v>Medium</v>
          </cell>
          <cell r="AB2171">
            <v>0</v>
          </cell>
        </row>
        <row r="2172">
          <cell r="B2172" t="str">
            <v>Roshini Devi</v>
          </cell>
          <cell r="I2172" t="str">
            <v>Correct</v>
          </cell>
          <cell r="J2172">
            <v>2.19</v>
          </cell>
          <cell r="K2172" t="str">
            <v>Medium</v>
          </cell>
          <cell r="AB2172">
            <v>1.64</v>
          </cell>
        </row>
        <row r="2173">
          <cell r="B2173" t="str">
            <v>Roshini Devi</v>
          </cell>
          <cell r="I2173" t="str">
            <v>Wrong</v>
          </cell>
          <cell r="J2173">
            <v>1.4</v>
          </cell>
          <cell r="K2173" t="str">
            <v>Medium</v>
          </cell>
          <cell r="AB2173">
            <v>0</v>
          </cell>
        </row>
        <row r="2174">
          <cell r="B2174" t="str">
            <v>Roshini Devi</v>
          </cell>
          <cell r="I2174" t="str">
            <v>Correct</v>
          </cell>
          <cell r="J2174">
            <v>1.1599999999999999</v>
          </cell>
          <cell r="K2174" t="str">
            <v>Medium</v>
          </cell>
          <cell r="AB2174">
            <v>2</v>
          </cell>
        </row>
        <row r="2175">
          <cell r="B2175" t="str">
            <v>Roshini Devi</v>
          </cell>
          <cell r="I2175" t="str">
            <v>Wrong</v>
          </cell>
          <cell r="J2175">
            <v>1.79</v>
          </cell>
          <cell r="K2175" t="str">
            <v>Medium</v>
          </cell>
          <cell r="AB2175">
            <v>0</v>
          </cell>
        </row>
        <row r="2176">
          <cell r="B2176" t="str">
            <v>Roshini Devi</v>
          </cell>
          <cell r="I2176" t="str">
            <v>Wrong</v>
          </cell>
          <cell r="J2176">
            <v>1.21</v>
          </cell>
          <cell r="K2176" t="str">
            <v>Medium</v>
          </cell>
          <cell r="AB2176">
            <v>0</v>
          </cell>
        </row>
        <row r="2177">
          <cell r="B2177" t="str">
            <v>Roshini Devi</v>
          </cell>
          <cell r="I2177" t="str">
            <v>Wrong</v>
          </cell>
          <cell r="J2177">
            <v>1.64</v>
          </cell>
          <cell r="K2177" t="str">
            <v>High</v>
          </cell>
          <cell r="AB2177">
            <v>0</v>
          </cell>
        </row>
        <row r="2178">
          <cell r="B2178" t="str">
            <v>Roshini Devi</v>
          </cell>
          <cell r="I2178" t="str">
            <v>Correct</v>
          </cell>
          <cell r="J2178">
            <v>1.64</v>
          </cell>
          <cell r="K2178" t="str">
            <v>High</v>
          </cell>
          <cell r="AB2178">
            <v>3</v>
          </cell>
        </row>
        <row r="2179">
          <cell r="B2179" t="str">
            <v>Roshini Devi</v>
          </cell>
          <cell r="I2179" t="str">
            <v>Wrong</v>
          </cell>
          <cell r="J2179">
            <v>1.23</v>
          </cell>
          <cell r="K2179" t="str">
            <v>High</v>
          </cell>
          <cell r="AB2179">
            <v>0</v>
          </cell>
        </row>
        <row r="2180">
          <cell r="B2180" t="str">
            <v>Roshini Devi</v>
          </cell>
          <cell r="I2180" t="str">
            <v>Wrong</v>
          </cell>
          <cell r="J2180">
            <v>2.2799999999999998</v>
          </cell>
          <cell r="K2180" t="str">
            <v>High</v>
          </cell>
          <cell r="AB2180">
            <v>0</v>
          </cell>
        </row>
        <row r="2181">
          <cell r="B2181" t="str">
            <v>Roshini Devi</v>
          </cell>
          <cell r="I2181" t="str">
            <v>Correct</v>
          </cell>
          <cell r="J2181">
            <v>1.58</v>
          </cell>
          <cell r="K2181" t="str">
            <v>High</v>
          </cell>
          <cell r="AB2181">
            <v>3</v>
          </cell>
        </row>
        <row r="2182">
          <cell r="B2182" t="str">
            <v>Sivakumar M</v>
          </cell>
          <cell r="I2182" t="str">
            <v>Correct</v>
          </cell>
          <cell r="J2182">
            <v>1.07</v>
          </cell>
          <cell r="K2182" t="str">
            <v>Low</v>
          </cell>
          <cell r="AB2182">
            <v>2</v>
          </cell>
        </row>
        <row r="2183">
          <cell r="B2183" t="str">
            <v>Sivakumar M</v>
          </cell>
          <cell r="I2183" t="str">
            <v>Correct</v>
          </cell>
          <cell r="J2183">
            <v>1.84</v>
          </cell>
          <cell r="K2183" t="str">
            <v>Low</v>
          </cell>
          <cell r="AB2183">
            <v>0.82</v>
          </cell>
        </row>
        <row r="2184">
          <cell r="B2184" t="str">
            <v>Sivakumar M</v>
          </cell>
          <cell r="I2184" t="str">
            <v>Correct</v>
          </cell>
          <cell r="J2184">
            <v>1.31</v>
          </cell>
          <cell r="K2184" t="str">
            <v>Low</v>
          </cell>
          <cell r="AB2184">
            <v>2</v>
          </cell>
        </row>
        <row r="2185">
          <cell r="B2185" t="str">
            <v>Sivakumar M</v>
          </cell>
          <cell r="I2185" t="str">
            <v>Correct</v>
          </cell>
          <cell r="J2185">
            <v>1.32</v>
          </cell>
          <cell r="K2185" t="str">
            <v>Low</v>
          </cell>
          <cell r="AB2185">
            <v>1</v>
          </cell>
        </row>
        <row r="2186">
          <cell r="B2186" t="str">
            <v>Sivakumar M</v>
          </cell>
          <cell r="I2186" t="str">
            <v>Correct</v>
          </cell>
          <cell r="J2186">
            <v>2</v>
          </cell>
          <cell r="K2186" t="str">
            <v>Low</v>
          </cell>
          <cell r="AB2186">
            <v>0.75</v>
          </cell>
        </row>
        <row r="2187">
          <cell r="B2187" t="str">
            <v>Sivakumar M</v>
          </cell>
          <cell r="I2187" t="str">
            <v>Correct</v>
          </cell>
          <cell r="J2187">
            <v>1.83</v>
          </cell>
          <cell r="K2187" t="str">
            <v>Low</v>
          </cell>
          <cell r="AB2187">
            <v>1.64</v>
          </cell>
        </row>
        <row r="2188">
          <cell r="B2188" t="str">
            <v>Sivakumar M</v>
          </cell>
          <cell r="I2188" t="str">
            <v>Correct</v>
          </cell>
          <cell r="J2188">
            <v>1.55</v>
          </cell>
          <cell r="K2188" t="str">
            <v>Low</v>
          </cell>
          <cell r="AB2188">
            <v>0.97</v>
          </cell>
        </row>
        <row r="2189">
          <cell r="B2189" t="str">
            <v>Sivakumar M</v>
          </cell>
          <cell r="I2189" t="str">
            <v>Wrong</v>
          </cell>
          <cell r="J2189">
            <v>1.7</v>
          </cell>
          <cell r="K2189" t="str">
            <v>Low</v>
          </cell>
          <cell r="AB2189">
            <v>0</v>
          </cell>
        </row>
        <row r="2190">
          <cell r="B2190" t="str">
            <v>Sivakumar M</v>
          </cell>
          <cell r="I2190" t="str">
            <v>Correct</v>
          </cell>
          <cell r="J2190">
            <v>1.1599999999999999</v>
          </cell>
          <cell r="K2190" t="str">
            <v>Low</v>
          </cell>
          <cell r="AB2190">
            <v>2</v>
          </cell>
        </row>
        <row r="2191">
          <cell r="B2191" t="str">
            <v>Sivakumar M</v>
          </cell>
          <cell r="I2191" t="str">
            <v>Correct</v>
          </cell>
          <cell r="J2191">
            <v>1.62</v>
          </cell>
          <cell r="K2191" t="str">
            <v>Medium</v>
          </cell>
          <cell r="AB2191">
            <v>2</v>
          </cell>
        </row>
        <row r="2192">
          <cell r="B2192" t="str">
            <v>Sivakumar M</v>
          </cell>
          <cell r="I2192" t="str">
            <v>Correct</v>
          </cell>
          <cell r="J2192">
            <v>1.98</v>
          </cell>
          <cell r="K2192" t="str">
            <v>Medium</v>
          </cell>
          <cell r="AB2192">
            <v>1.82</v>
          </cell>
        </row>
        <row r="2193">
          <cell r="B2193" t="str">
            <v>Sivakumar M</v>
          </cell>
          <cell r="I2193" t="str">
            <v>Correct</v>
          </cell>
          <cell r="J2193">
            <v>2.23</v>
          </cell>
          <cell r="K2193" t="str">
            <v>Medium</v>
          </cell>
          <cell r="AB2193">
            <v>1.61</v>
          </cell>
        </row>
        <row r="2194">
          <cell r="B2194" t="str">
            <v>Sivakumar M</v>
          </cell>
          <cell r="I2194" t="str">
            <v>Correct</v>
          </cell>
          <cell r="J2194">
            <v>2.0699999999999998</v>
          </cell>
          <cell r="K2194" t="str">
            <v>Medium</v>
          </cell>
          <cell r="AB2194">
            <v>1.74</v>
          </cell>
        </row>
        <row r="2195">
          <cell r="B2195" t="str">
            <v>Sivakumar M</v>
          </cell>
          <cell r="I2195" t="str">
            <v>Correct</v>
          </cell>
          <cell r="J2195">
            <v>1.24</v>
          </cell>
          <cell r="K2195" t="str">
            <v>Medium</v>
          </cell>
          <cell r="AB2195">
            <v>2</v>
          </cell>
        </row>
        <row r="2196">
          <cell r="B2196" t="str">
            <v>Sivakumar M</v>
          </cell>
          <cell r="I2196" t="str">
            <v>Wrong</v>
          </cell>
          <cell r="J2196">
            <v>1.32</v>
          </cell>
          <cell r="K2196" t="str">
            <v>Medium</v>
          </cell>
          <cell r="AB2196">
            <v>0</v>
          </cell>
        </row>
        <row r="2197">
          <cell r="B2197" t="str">
            <v>Sivakumar M</v>
          </cell>
          <cell r="I2197" t="str">
            <v>Wrong</v>
          </cell>
          <cell r="J2197">
            <v>1.81</v>
          </cell>
          <cell r="K2197" t="str">
            <v>High</v>
          </cell>
          <cell r="AB2197">
            <v>0</v>
          </cell>
        </row>
        <row r="2198">
          <cell r="B2198" t="str">
            <v>Sivakumar M</v>
          </cell>
          <cell r="I2198" t="str">
            <v>Wrong</v>
          </cell>
          <cell r="J2198">
            <v>1.83</v>
          </cell>
          <cell r="K2198" t="str">
            <v>High</v>
          </cell>
          <cell r="AB2198">
            <v>0</v>
          </cell>
        </row>
        <row r="2199">
          <cell r="B2199" t="str">
            <v>Sivakumar M</v>
          </cell>
          <cell r="I2199" t="str">
            <v>Correct</v>
          </cell>
          <cell r="J2199">
            <v>1.47</v>
          </cell>
          <cell r="K2199" t="str">
            <v>High</v>
          </cell>
          <cell r="AB2199">
            <v>3</v>
          </cell>
        </row>
        <row r="2200">
          <cell r="B2200" t="str">
            <v>Sivakumar M</v>
          </cell>
          <cell r="I2200" t="str">
            <v>Correct</v>
          </cell>
          <cell r="J2200">
            <v>1.94</v>
          </cell>
          <cell r="K2200" t="str">
            <v>High</v>
          </cell>
          <cell r="AB2200">
            <v>3</v>
          </cell>
        </row>
        <row r="2201">
          <cell r="B2201" t="str">
            <v>Sivakumar M</v>
          </cell>
          <cell r="I2201" t="str">
            <v>Correct</v>
          </cell>
          <cell r="J2201">
            <v>2.27</v>
          </cell>
          <cell r="K2201" t="str">
            <v>High</v>
          </cell>
          <cell r="AB2201">
            <v>2.64</v>
          </cell>
        </row>
        <row r="2202">
          <cell r="B2202" t="str">
            <v>Thenmozhi R</v>
          </cell>
          <cell r="I2202" t="str">
            <v>Wrong</v>
          </cell>
          <cell r="J2202">
            <v>1.33</v>
          </cell>
          <cell r="K2202" t="str">
            <v>Low</v>
          </cell>
          <cell r="AB2202">
            <v>0</v>
          </cell>
        </row>
        <row r="2203">
          <cell r="B2203" t="str">
            <v>Thenmozhi R</v>
          </cell>
          <cell r="I2203" t="str">
            <v>Wrong</v>
          </cell>
          <cell r="J2203">
            <v>1.1499999999999999</v>
          </cell>
          <cell r="K2203" t="str">
            <v>Low</v>
          </cell>
          <cell r="AB2203">
            <v>0</v>
          </cell>
        </row>
        <row r="2204">
          <cell r="B2204" t="str">
            <v>Thenmozhi R</v>
          </cell>
          <cell r="I2204" t="str">
            <v>Correct</v>
          </cell>
          <cell r="J2204">
            <v>1.37</v>
          </cell>
          <cell r="K2204" t="str">
            <v>Low</v>
          </cell>
          <cell r="AB2204">
            <v>2</v>
          </cell>
        </row>
        <row r="2205">
          <cell r="B2205" t="str">
            <v>Thenmozhi R</v>
          </cell>
          <cell r="I2205" t="str">
            <v>Wrong</v>
          </cell>
          <cell r="J2205">
            <v>1.82</v>
          </cell>
          <cell r="K2205" t="str">
            <v>Low</v>
          </cell>
          <cell r="AB2205">
            <v>0</v>
          </cell>
        </row>
        <row r="2206">
          <cell r="B2206" t="str">
            <v>Thenmozhi R</v>
          </cell>
          <cell r="I2206" t="str">
            <v>Correct</v>
          </cell>
          <cell r="J2206">
            <v>1.75</v>
          </cell>
          <cell r="K2206" t="str">
            <v>Low</v>
          </cell>
          <cell r="AB2206">
            <v>0.86</v>
          </cell>
        </row>
        <row r="2207">
          <cell r="B2207" t="str">
            <v>Thenmozhi R</v>
          </cell>
          <cell r="I2207" t="str">
            <v>Wrong</v>
          </cell>
          <cell r="J2207">
            <v>1.9</v>
          </cell>
          <cell r="K2207" t="str">
            <v>Low</v>
          </cell>
          <cell r="AB2207">
            <v>0</v>
          </cell>
        </row>
        <row r="2208">
          <cell r="B2208" t="str">
            <v>Thenmozhi R</v>
          </cell>
          <cell r="I2208" t="str">
            <v>Correct</v>
          </cell>
          <cell r="J2208">
            <v>1.7</v>
          </cell>
          <cell r="K2208" t="str">
            <v>Low</v>
          </cell>
          <cell r="AB2208">
            <v>0.88</v>
          </cell>
        </row>
        <row r="2209">
          <cell r="B2209" t="str">
            <v>Thenmozhi R</v>
          </cell>
          <cell r="I2209" t="str">
            <v>Correct</v>
          </cell>
          <cell r="J2209">
            <v>1.77</v>
          </cell>
          <cell r="K2209" t="str">
            <v>Low</v>
          </cell>
          <cell r="AB2209">
            <v>1.69</v>
          </cell>
        </row>
        <row r="2210">
          <cell r="B2210" t="str">
            <v>Thenmozhi R</v>
          </cell>
          <cell r="I2210" t="str">
            <v>Correct</v>
          </cell>
          <cell r="J2210">
            <v>0.94</v>
          </cell>
          <cell r="K2210" t="str">
            <v>Low</v>
          </cell>
          <cell r="AB2210">
            <v>2</v>
          </cell>
        </row>
        <row r="2211">
          <cell r="B2211" t="str">
            <v>Thenmozhi R</v>
          </cell>
          <cell r="I2211" t="str">
            <v>Wrong</v>
          </cell>
          <cell r="J2211">
            <v>1.46</v>
          </cell>
          <cell r="K2211" t="str">
            <v>Medium</v>
          </cell>
          <cell r="AB2211">
            <v>0</v>
          </cell>
        </row>
        <row r="2212">
          <cell r="B2212" t="str">
            <v>Thenmozhi R</v>
          </cell>
          <cell r="I2212" t="str">
            <v>Correct</v>
          </cell>
          <cell r="J2212">
            <v>1.67</v>
          </cell>
          <cell r="K2212" t="str">
            <v>Medium</v>
          </cell>
          <cell r="AB2212">
            <v>2</v>
          </cell>
        </row>
        <row r="2213">
          <cell r="B2213" t="str">
            <v>Thenmozhi R</v>
          </cell>
          <cell r="I2213" t="str">
            <v>Correct</v>
          </cell>
          <cell r="J2213">
            <v>2.19</v>
          </cell>
          <cell r="K2213" t="str">
            <v>Medium</v>
          </cell>
          <cell r="AB2213">
            <v>1.64</v>
          </cell>
        </row>
        <row r="2214">
          <cell r="B2214" t="str">
            <v>Thenmozhi R</v>
          </cell>
          <cell r="I2214" t="str">
            <v>Wrong</v>
          </cell>
          <cell r="J2214">
            <v>2.1</v>
          </cell>
          <cell r="K2214" t="str">
            <v>Medium</v>
          </cell>
          <cell r="AB2214">
            <v>0</v>
          </cell>
        </row>
        <row r="2215">
          <cell r="B2215" t="str">
            <v>Thenmozhi R</v>
          </cell>
          <cell r="I2215" t="str">
            <v>Wrong</v>
          </cell>
          <cell r="J2215">
            <v>1.54</v>
          </cell>
          <cell r="K2215" t="str">
            <v>Medium</v>
          </cell>
          <cell r="AB2215">
            <v>0</v>
          </cell>
        </row>
        <row r="2216">
          <cell r="B2216" t="str">
            <v>Thenmozhi R</v>
          </cell>
          <cell r="I2216" t="str">
            <v>Correct</v>
          </cell>
          <cell r="J2216">
            <v>1.72</v>
          </cell>
          <cell r="K2216" t="str">
            <v>Medium</v>
          </cell>
          <cell r="AB2216">
            <v>2</v>
          </cell>
        </row>
        <row r="2217">
          <cell r="B2217" t="str">
            <v>Thenmozhi R</v>
          </cell>
          <cell r="I2217" t="str">
            <v>Wrong</v>
          </cell>
          <cell r="J2217">
            <v>1.99</v>
          </cell>
          <cell r="K2217" t="str">
            <v>High</v>
          </cell>
          <cell r="AB2217">
            <v>0</v>
          </cell>
        </row>
        <row r="2218">
          <cell r="B2218" t="str">
            <v>Thenmozhi R</v>
          </cell>
          <cell r="I2218" t="str">
            <v>Wrong</v>
          </cell>
          <cell r="J2218">
            <v>2.56</v>
          </cell>
          <cell r="K2218" t="str">
            <v>High</v>
          </cell>
          <cell r="AB2218">
            <v>0</v>
          </cell>
        </row>
        <row r="2219">
          <cell r="B2219" t="str">
            <v>Thenmozhi R</v>
          </cell>
          <cell r="I2219" t="str">
            <v>Wrong</v>
          </cell>
          <cell r="J2219">
            <v>2.42</v>
          </cell>
          <cell r="K2219" t="str">
            <v>High</v>
          </cell>
          <cell r="AB2219">
            <v>0</v>
          </cell>
        </row>
        <row r="2220">
          <cell r="B2220" t="str">
            <v>Thenmozhi R</v>
          </cell>
          <cell r="I2220" t="str">
            <v>Correct</v>
          </cell>
          <cell r="J2220">
            <v>1.27</v>
          </cell>
          <cell r="K2220" t="str">
            <v>High</v>
          </cell>
          <cell r="AB2220">
            <v>3</v>
          </cell>
        </row>
        <row r="2221">
          <cell r="B2221" t="str">
            <v>Thenmozhi R</v>
          </cell>
          <cell r="I2221" t="str">
            <v>Wrong</v>
          </cell>
          <cell r="J2221">
            <v>1.78</v>
          </cell>
          <cell r="K2221" t="str">
            <v>High</v>
          </cell>
          <cell r="AB2221">
            <v>0</v>
          </cell>
        </row>
        <row r="2222">
          <cell r="B2222" t="str">
            <v>Vigneshwaran S</v>
          </cell>
          <cell r="I2222" t="str">
            <v>Correct</v>
          </cell>
          <cell r="J2222">
            <v>1.73</v>
          </cell>
          <cell r="K2222" t="str">
            <v>Low</v>
          </cell>
          <cell r="AB2222">
            <v>1.73</v>
          </cell>
        </row>
        <row r="2223">
          <cell r="B2223" t="str">
            <v>Vigneshwaran S</v>
          </cell>
          <cell r="I2223" t="str">
            <v>Correct</v>
          </cell>
          <cell r="J2223">
            <v>1.94</v>
          </cell>
          <cell r="K2223" t="str">
            <v>Low</v>
          </cell>
          <cell r="AB2223">
            <v>0.77</v>
          </cell>
        </row>
        <row r="2224">
          <cell r="B2224" t="str">
            <v>Vigneshwaran S</v>
          </cell>
          <cell r="I2224" t="str">
            <v>Correct</v>
          </cell>
          <cell r="J2224">
            <v>1.06</v>
          </cell>
          <cell r="K2224" t="str">
            <v>Low</v>
          </cell>
          <cell r="AB2224">
            <v>2</v>
          </cell>
        </row>
        <row r="2225">
          <cell r="B2225" t="str">
            <v>Vigneshwaran S</v>
          </cell>
          <cell r="I2225" t="str">
            <v>Wrong</v>
          </cell>
          <cell r="J2225">
            <v>1.48</v>
          </cell>
          <cell r="K2225" t="str">
            <v>Low</v>
          </cell>
          <cell r="AB2225">
            <v>0</v>
          </cell>
        </row>
        <row r="2226">
          <cell r="B2226" t="str">
            <v>Vigneshwaran S</v>
          </cell>
          <cell r="I2226" t="str">
            <v>Correct</v>
          </cell>
          <cell r="J2226">
            <v>1.77</v>
          </cell>
          <cell r="K2226" t="str">
            <v>Low</v>
          </cell>
          <cell r="AB2226">
            <v>0.85</v>
          </cell>
        </row>
        <row r="2227">
          <cell r="B2227" t="str">
            <v>Vigneshwaran S</v>
          </cell>
          <cell r="I2227" t="str">
            <v>Correct</v>
          </cell>
          <cell r="J2227">
            <v>1.26</v>
          </cell>
          <cell r="K2227" t="str">
            <v>Low</v>
          </cell>
          <cell r="AB2227">
            <v>2</v>
          </cell>
        </row>
        <row r="2228">
          <cell r="B2228" t="str">
            <v>Vigneshwaran S</v>
          </cell>
          <cell r="I2228" t="str">
            <v>Correct</v>
          </cell>
          <cell r="J2228">
            <v>1.88</v>
          </cell>
          <cell r="K2228" t="str">
            <v>Low</v>
          </cell>
          <cell r="AB2228">
            <v>0.8</v>
          </cell>
        </row>
        <row r="2229">
          <cell r="B2229" t="str">
            <v>Vigneshwaran S</v>
          </cell>
          <cell r="I2229" t="str">
            <v>Correct</v>
          </cell>
          <cell r="J2229">
            <v>1.1399999999999999</v>
          </cell>
          <cell r="K2229" t="str">
            <v>Low</v>
          </cell>
          <cell r="AB2229">
            <v>2</v>
          </cell>
        </row>
        <row r="2230">
          <cell r="B2230" t="str">
            <v>Vigneshwaran S</v>
          </cell>
          <cell r="I2230" t="str">
            <v>Correct</v>
          </cell>
          <cell r="J2230">
            <v>1.75</v>
          </cell>
          <cell r="K2230" t="str">
            <v>Low</v>
          </cell>
          <cell r="AB2230">
            <v>1.71</v>
          </cell>
        </row>
        <row r="2231">
          <cell r="B2231" t="str">
            <v>Vigneshwaran S</v>
          </cell>
          <cell r="I2231" t="str">
            <v>Wrong</v>
          </cell>
          <cell r="J2231">
            <v>1.32</v>
          </cell>
          <cell r="K2231" t="str">
            <v>Medium</v>
          </cell>
          <cell r="AB2231">
            <v>0</v>
          </cell>
        </row>
        <row r="2232">
          <cell r="B2232" t="str">
            <v>Vigneshwaran S</v>
          </cell>
          <cell r="I2232" t="str">
            <v>Correct</v>
          </cell>
          <cell r="J2232">
            <v>2.2599999999999998</v>
          </cell>
          <cell r="K2232" t="str">
            <v>Medium</v>
          </cell>
          <cell r="AB2232">
            <v>1.59</v>
          </cell>
        </row>
        <row r="2233">
          <cell r="B2233" t="str">
            <v>Vigneshwaran S</v>
          </cell>
          <cell r="I2233" t="str">
            <v>Wrong</v>
          </cell>
          <cell r="J2233">
            <v>1.92</v>
          </cell>
          <cell r="K2233" t="str">
            <v>Medium</v>
          </cell>
          <cell r="AB2233">
            <v>0</v>
          </cell>
        </row>
        <row r="2234">
          <cell r="B2234" t="str">
            <v>Vigneshwaran S</v>
          </cell>
          <cell r="I2234" t="str">
            <v>Correct</v>
          </cell>
          <cell r="J2234">
            <v>2.09</v>
          </cell>
          <cell r="K2234" t="str">
            <v>Medium</v>
          </cell>
          <cell r="AB2234">
            <v>1.72</v>
          </cell>
        </row>
        <row r="2235">
          <cell r="B2235" t="str">
            <v>Vigneshwaran S</v>
          </cell>
          <cell r="I2235" t="str">
            <v>Correct</v>
          </cell>
          <cell r="J2235">
            <v>1.5</v>
          </cell>
          <cell r="K2235" t="str">
            <v>Medium</v>
          </cell>
          <cell r="AB2235">
            <v>2</v>
          </cell>
        </row>
        <row r="2236">
          <cell r="B2236" t="str">
            <v>Vigneshwaran S</v>
          </cell>
          <cell r="I2236" t="str">
            <v>Correct</v>
          </cell>
          <cell r="J2236">
            <v>1.25</v>
          </cell>
          <cell r="K2236" t="str">
            <v>Medium</v>
          </cell>
          <cell r="AB2236">
            <v>2</v>
          </cell>
        </row>
        <row r="2237">
          <cell r="B2237" t="str">
            <v>Vigneshwaran S</v>
          </cell>
          <cell r="I2237" t="str">
            <v>Wrong</v>
          </cell>
          <cell r="J2237">
            <v>1.7</v>
          </cell>
          <cell r="K2237" t="str">
            <v>High</v>
          </cell>
          <cell r="AB2237">
            <v>0</v>
          </cell>
        </row>
        <row r="2238">
          <cell r="B2238" t="str">
            <v>Vigneshwaran S</v>
          </cell>
          <cell r="I2238" t="str">
            <v>Correct</v>
          </cell>
          <cell r="J2238">
            <v>1.46</v>
          </cell>
          <cell r="K2238" t="str">
            <v>High</v>
          </cell>
          <cell r="AB2238">
            <v>3</v>
          </cell>
        </row>
        <row r="2239">
          <cell r="B2239" t="str">
            <v>Vigneshwaran S</v>
          </cell>
          <cell r="I2239" t="str">
            <v>Correct</v>
          </cell>
          <cell r="J2239">
            <v>1.45</v>
          </cell>
          <cell r="K2239" t="str">
            <v>High</v>
          </cell>
          <cell r="AB2239">
            <v>3</v>
          </cell>
        </row>
        <row r="2240">
          <cell r="B2240" t="str">
            <v>Vigneshwaran S</v>
          </cell>
          <cell r="I2240" t="str">
            <v>Wrong</v>
          </cell>
          <cell r="J2240">
            <v>1.23</v>
          </cell>
          <cell r="K2240" t="str">
            <v>High</v>
          </cell>
          <cell r="AB2240">
            <v>0</v>
          </cell>
        </row>
        <row r="2241">
          <cell r="B2241" t="str">
            <v>Vigneshwaran S</v>
          </cell>
          <cell r="I2241" t="str">
            <v>Wrong</v>
          </cell>
          <cell r="J2241">
            <v>2.31</v>
          </cell>
          <cell r="K2241" t="str">
            <v>High</v>
          </cell>
          <cell r="AB2241">
            <v>0</v>
          </cell>
        </row>
        <row r="2242">
          <cell r="B2242" t="str">
            <v>Yamuna Devi</v>
          </cell>
          <cell r="I2242" t="str">
            <v>Correct</v>
          </cell>
          <cell r="J2242">
            <v>1.1499999999999999</v>
          </cell>
          <cell r="K2242" t="str">
            <v>Low</v>
          </cell>
          <cell r="AB2242">
            <v>2</v>
          </cell>
        </row>
        <row r="2243">
          <cell r="B2243" t="str">
            <v>Yamuna Devi</v>
          </cell>
          <cell r="I2243" t="str">
            <v>Correct</v>
          </cell>
          <cell r="J2243">
            <v>1.64</v>
          </cell>
          <cell r="K2243" t="str">
            <v>Low</v>
          </cell>
          <cell r="AB2243">
            <v>0.92</v>
          </cell>
        </row>
        <row r="2244">
          <cell r="B2244" t="str">
            <v>Yamuna Devi</v>
          </cell>
          <cell r="I2244" t="str">
            <v>Correct</v>
          </cell>
          <cell r="J2244">
            <v>1.9</v>
          </cell>
          <cell r="K2244" t="str">
            <v>Low</v>
          </cell>
          <cell r="AB2244">
            <v>1.58</v>
          </cell>
        </row>
        <row r="2245">
          <cell r="B2245" t="str">
            <v>Yamuna Devi</v>
          </cell>
          <cell r="I2245" t="str">
            <v>Correct</v>
          </cell>
          <cell r="J2245">
            <v>0.91</v>
          </cell>
          <cell r="K2245" t="str">
            <v>Low</v>
          </cell>
          <cell r="AB2245">
            <v>1</v>
          </cell>
        </row>
        <row r="2246">
          <cell r="B2246" t="str">
            <v>Yamuna Devi</v>
          </cell>
          <cell r="I2246" t="str">
            <v>Correct</v>
          </cell>
          <cell r="J2246">
            <v>1.05</v>
          </cell>
          <cell r="K2246" t="str">
            <v>Low</v>
          </cell>
          <cell r="AB2246">
            <v>1</v>
          </cell>
        </row>
        <row r="2247">
          <cell r="B2247" t="str">
            <v>Yamuna Devi</v>
          </cell>
          <cell r="I2247" t="str">
            <v>Correct</v>
          </cell>
          <cell r="J2247">
            <v>1.45</v>
          </cell>
          <cell r="K2247" t="str">
            <v>Low</v>
          </cell>
          <cell r="AB2247">
            <v>2</v>
          </cell>
        </row>
        <row r="2248">
          <cell r="B2248" t="str">
            <v>Yamuna Devi</v>
          </cell>
          <cell r="I2248" t="str">
            <v>Correct</v>
          </cell>
          <cell r="J2248">
            <v>1.62</v>
          </cell>
          <cell r="K2248" t="str">
            <v>Low</v>
          </cell>
          <cell r="AB2248">
            <v>0.93</v>
          </cell>
        </row>
        <row r="2249">
          <cell r="B2249" t="str">
            <v>Yamuna Devi</v>
          </cell>
          <cell r="I2249" t="str">
            <v>Wrong</v>
          </cell>
          <cell r="J2249">
            <v>1.93</v>
          </cell>
          <cell r="K2249" t="str">
            <v>Low</v>
          </cell>
          <cell r="AB2249">
            <v>0</v>
          </cell>
        </row>
        <row r="2250">
          <cell r="B2250" t="str">
            <v>Yamuna Devi</v>
          </cell>
          <cell r="I2250" t="str">
            <v>Correct</v>
          </cell>
          <cell r="J2250">
            <v>1</v>
          </cell>
          <cell r="K2250" t="str">
            <v>Low</v>
          </cell>
          <cell r="AB2250">
            <v>2</v>
          </cell>
        </row>
        <row r="2251">
          <cell r="B2251" t="str">
            <v>Yamuna Devi</v>
          </cell>
          <cell r="I2251" t="str">
            <v>Correct</v>
          </cell>
          <cell r="J2251">
            <v>2.02</v>
          </cell>
          <cell r="K2251" t="str">
            <v>Medium</v>
          </cell>
          <cell r="AB2251">
            <v>1.78</v>
          </cell>
        </row>
        <row r="2252">
          <cell r="B2252" t="str">
            <v>Yamuna Devi</v>
          </cell>
          <cell r="I2252" t="str">
            <v>Correct</v>
          </cell>
          <cell r="J2252">
            <v>2.13</v>
          </cell>
          <cell r="K2252" t="str">
            <v>Medium</v>
          </cell>
          <cell r="AB2252">
            <v>1.69</v>
          </cell>
        </row>
        <row r="2253">
          <cell r="B2253" t="str">
            <v>Yamuna Devi</v>
          </cell>
          <cell r="I2253" t="str">
            <v>Wrong</v>
          </cell>
          <cell r="J2253">
            <v>1.79</v>
          </cell>
          <cell r="K2253" t="str">
            <v>Medium</v>
          </cell>
          <cell r="AB2253">
            <v>0</v>
          </cell>
        </row>
        <row r="2254">
          <cell r="B2254" t="str">
            <v>Yamuna Devi</v>
          </cell>
          <cell r="I2254" t="str">
            <v>Correct</v>
          </cell>
          <cell r="J2254">
            <v>1.22</v>
          </cell>
          <cell r="K2254" t="str">
            <v>Medium</v>
          </cell>
          <cell r="AB2254">
            <v>2</v>
          </cell>
        </row>
        <row r="2255">
          <cell r="B2255" t="str">
            <v>Yamuna Devi</v>
          </cell>
          <cell r="I2255" t="str">
            <v>Correct</v>
          </cell>
          <cell r="J2255">
            <v>1.79</v>
          </cell>
          <cell r="K2255" t="str">
            <v>Medium</v>
          </cell>
          <cell r="AB2255">
            <v>2</v>
          </cell>
        </row>
        <row r="2256">
          <cell r="B2256" t="str">
            <v>Yamuna Devi</v>
          </cell>
          <cell r="I2256" t="str">
            <v>Wrong</v>
          </cell>
          <cell r="J2256">
            <v>1.1399999999999999</v>
          </cell>
          <cell r="K2256" t="str">
            <v>Medium</v>
          </cell>
          <cell r="AB2256">
            <v>0</v>
          </cell>
        </row>
        <row r="2257">
          <cell r="B2257" t="str">
            <v>Yamuna Devi</v>
          </cell>
          <cell r="I2257" t="str">
            <v>Correct</v>
          </cell>
          <cell r="J2257">
            <v>2.06</v>
          </cell>
          <cell r="K2257" t="str">
            <v>High</v>
          </cell>
          <cell r="AB2257">
            <v>2.91</v>
          </cell>
        </row>
        <row r="2258">
          <cell r="B2258" t="str">
            <v>Yamuna Devi</v>
          </cell>
          <cell r="I2258" t="str">
            <v>Correct</v>
          </cell>
          <cell r="J2258">
            <v>1.37</v>
          </cell>
          <cell r="K2258" t="str">
            <v>High</v>
          </cell>
          <cell r="AB2258">
            <v>3</v>
          </cell>
        </row>
        <row r="2259">
          <cell r="B2259" t="str">
            <v>Yamuna Devi</v>
          </cell>
          <cell r="I2259" t="str">
            <v>Wrong</v>
          </cell>
          <cell r="J2259">
            <v>1.78</v>
          </cell>
          <cell r="K2259" t="str">
            <v>High</v>
          </cell>
          <cell r="AB2259">
            <v>0</v>
          </cell>
        </row>
        <row r="2260">
          <cell r="B2260" t="str">
            <v>Yamuna Devi</v>
          </cell>
          <cell r="I2260" t="str">
            <v>Correct</v>
          </cell>
          <cell r="J2260">
            <v>2.13</v>
          </cell>
          <cell r="K2260" t="str">
            <v>High</v>
          </cell>
          <cell r="AB2260">
            <v>2.82</v>
          </cell>
        </row>
        <row r="2261">
          <cell r="B2261" t="str">
            <v>Yamuna Devi</v>
          </cell>
          <cell r="I2261" t="str">
            <v>Correct</v>
          </cell>
          <cell r="J2261">
            <v>1.21</v>
          </cell>
          <cell r="K2261" t="str">
            <v>High</v>
          </cell>
          <cell r="AB2261">
            <v>3</v>
          </cell>
        </row>
        <row r="2262">
          <cell r="B2262" t="str">
            <v>Aravind Raj</v>
          </cell>
          <cell r="I2262" t="str">
            <v>Correct</v>
          </cell>
          <cell r="J2262">
            <v>1.75</v>
          </cell>
          <cell r="K2262" t="str">
            <v>Low</v>
          </cell>
          <cell r="AB2262">
            <v>1.71</v>
          </cell>
        </row>
        <row r="2263">
          <cell r="B2263" t="str">
            <v>Aravind Raj</v>
          </cell>
          <cell r="I2263" t="str">
            <v>Wrong</v>
          </cell>
          <cell r="J2263">
            <v>1.71</v>
          </cell>
          <cell r="K2263" t="str">
            <v>Low</v>
          </cell>
          <cell r="AB2263">
            <v>0</v>
          </cell>
        </row>
        <row r="2264">
          <cell r="B2264" t="str">
            <v>Aravind Raj</v>
          </cell>
          <cell r="I2264" t="str">
            <v>Correct</v>
          </cell>
          <cell r="J2264">
            <v>1.07</v>
          </cell>
          <cell r="K2264" t="str">
            <v>Low</v>
          </cell>
          <cell r="AB2264">
            <v>2</v>
          </cell>
        </row>
        <row r="2265">
          <cell r="B2265" t="str">
            <v>Aravind Raj</v>
          </cell>
          <cell r="I2265" t="str">
            <v>Correct</v>
          </cell>
          <cell r="J2265">
            <v>0.94</v>
          </cell>
          <cell r="K2265" t="str">
            <v>Low</v>
          </cell>
          <cell r="AB2265">
            <v>1</v>
          </cell>
        </row>
        <row r="2266">
          <cell r="B2266" t="str">
            <v>Aravind Raj</v>
          </cell>
          <cell r="I2266" t="str">
            <v>Correct</v>
          </cell>
          <cell r="J2266">
            <v>1.92</v>
          </cell>
          <cell r="K2266" t="str">
            <v>Low</v>
          </cell>
          <cell r="AB2266">
            <v>0.78</v>
          </cell>
        </row>
        <row r="2267">
          <cell r="B2267" t="str">
            <v>Aravind Raj</v>
          </cell>
          <cell r="I2267" t="str">
            <v>Correct</v>
          </cell>
          <cell r="J2267">
            <v>1.38</v>
          </cell>
          <cell r="K2267" t="str">
            <v>Low</v>
          </cell>
          <cell r="AB2267">
            <v>2</v>
          </cell>
        </row>
        <row r="2268">
          <cell r="B2268" t="str">
            <v>Aravind Raj</v>
          </cell>
          <cell r="I2268" t="str">
            <v>Correct</v>
          </cell>
          <cell r="J2268">
            <v>1.3</v>
          </cell>
          <cell r="K2268" t="str">
            <v>Low</v>
          </cell>
          <cell r="AB2268">
            <v>1</v>
          </cell>
        </row>
        <row r="2269">
          <cell r="B2269" t="str">
            <v>Aravind Raj</v>
          </cell>
          <cell r="I2269" t="str">
            <v>Correct</v>
          </cell>
          <cell r="J2269">
            <v>1.06</v>
          </cell>
          <cell r="K2269" t="str">
            <v>Low</v>
          </cell>
          <cell r="AB2269">
            <v>2</v>
          </cell>
        </row>
        <row r="2270">
          <cell r="B2270" t="str">
            <v>Aravind Raj</v>
          </cell>
          <cell r="I2270" t="str">
            <v>Correct</v>
          </cell>
          <cell r="J2270">
            <v>1.6</v>
          </cell>
          <cell r="K2270" t="str">
            <v>Low</v>
          </cell>
          <cell r="AB2270">
            <v>1.88</v>
          </cell>
        </row>
        <row r="2271">
          <cell r="B2271" t="str">
            <v>Aravind Raj</v>
          </cell>
          <cell r="I2271" t="str">
            <v>Correct</v>
          </cell>
          <cell r="J2271">
            <v>2.1</v>
          </cell>
          <cell r="K2271" t="str">
            <v>Medium</v>
          </cell>
          <cell r="AB2271">
            <v>1.71</v>
          </cell>
        </row>
        <row r="2272">
          <cell r="B2272" t="str">
            <v>Aravind Raj</v>
          </cell>
          <cell r="I2272" t="str">
            <v>Correct</v>
          </cell>
          <cell r="J2272">
            <v>1.23</v>
          </cell>
          <cell r="K2272" t="str">
            <v>Medium</v>
          </cell>
          <cell r="AB2272">
            <v>2</v>
          </cell>
        </row>
        <row r="2273">
          <cell r="B2273" t="str">
            <v>Aravind Raj</v>
          </cell>
          <cell r="I2273" t="str">
            <v>Wrong</v>
          </cell>
          <cell r="J2273">
            <v>1.28</v>
          </cell>
          <cell r="K2273" t="str">
            <v>Medium</v>
          </cell>
          <cell r="AB2273">
            <v>0</v>
          </cell>
        </row>
        <row r="2274">
          <cell r="B2274" t="str">
            <v>Aravind Raj</v>
          </cell>
          <cell r="I2274" t="str">
            <v>Correct</v>
          </cell>
          <cell r="J2274">
            <v>1.53</v>
          </cell>
          <cell r="K2274" t="str">
            <v>Medium</v>
          </cell>
          <cell r="AB2274">
            <v>2</v>
          </cell>
        </row>
        <row r="2275">
          <cell r="B2275" t="str">
            <v>Aravind Raj</v>
          </cell>
          <cell r="I2275" t="str">
            <v>Correct</v>
          </cell>
          <cell r="J2275">
            <v>1.41</v>
          </cell>
          <cell r="K2275" t="str">
            <v>Medium</v>
          </cell>
          <cell r="AB2275">
            <v>2</v>
          </cell>
        </row>
        <row r="2276">
          <cell r="B2276" t="str">
            <v>Aravind Raj</v>
          </cell>
          <cell r="I2276" t="str">
            <v>Correct</v>
          </cell>
          <cell r="J2276">
            <v>1.88</v>
          </cell>
          <cell r="K2276" t="str">
            <v>Medium</v>
          </cell>
          <cell r="AB2276">
            <v>1.91</v>
          </cell>
        </row>
        <row r="2277">
          <cell r="B2277" t="str">
            <v>Aravind Raj</v>
          </cell>
          <cell r="I2277" t="str">
            <v>Wrong</v>
          </cell>
          <cell r="J2277">
            <v>2.4900000000000002</v>
          </cell>
          <cell r="K2277" t="str">
            <v>High</v>
          </cell>
          <cell r="AB2277">
            <v>0</v>
          </cell>
        </row>
        <row r="2278">
          <cell r="B2278" t="str">
            <v>Aravind Raj</v>
          </cell>
          <cell r="I2278" t="str">
            <v>Wrong</v>
          </cell>
          <cell r="J2278">
            <v>2.04</v>
          </cell>
          <cell r="K2278" t="str">
            <v>High</v>
          </cell>
          <cell r="AB2278">
            <v>0</v>
          </cell>
        </row>
        <row r="2279">
          <cell r="B2279" t="str">
            <v>Aravind Raj</v>
          </cell>
          <cell r="I2279" t="str">
            <v>Wrong</v>
          </cell>
          <cell r="J2279">
            <v>1.67</v>
          </cell>
          <cell r="K2279" t="str">
            <v>High</v>
          </cell>
          <cell r="AB2279">
            <v>0</v>
          </cell>
        </row>
        <row r="2280">
          <cell r="B2280" t="str">
            <v>Aravind Raj</v>
          </cell>
          <cell r="I2280" t="str">
            <v>Correct</v>
          </cell>
          <cell r="J2280">
            <v>1.84</v>
          </cell>
          <cell r="K2280" t="str">
            <v>High</v>
          </cell>
          <cell r="AB2280">
            <v>3</v>
          </cell>
        </row>
        <row r="2281">
          <cell r="B2281" t="str">
            <v>Aravind Raj</v>
          </cell>
          <cell r="I2281" t="str">
            <v>Wrong</v>
          </cell>
          <cell r="J2281">
            <v>1.44</v>
          </cell>
          <cell r="K2281" t="str">
            <v>High</v>
          </cell>
          <cell r="AB2281">
            <v>0</v>
          </cell>
        </row>
        <row r="2282">
          <cell r="B2282" t="str">
            <v>Bhuvan K</v>
          </cell>
          <cell r="I2282" t="str">
            <v>Correct</v>
          </cell>
          <cell r="J2282">
            <v>1.17</v>
          </cell>
          <cell r="K2282" t="str">
            <v>Low</v>
          </cell>
          <cell r="AB2282">
            <v>2</v>
          </cell>
        </row>
        <row r="2283">
          <cell r="B2283" t="str">
            <v>Bhuvan K</v>
          </cell>
          <cell r="I2283" t="str">
            <v>Correct</v>
          </cell>
          <cell r="J2283">
            <v>1.76</v>
          </cell>
          <cell r="K2283" t="str">
            <v>Low</v>
          </cell>
          <cell r="AB2283">
            <v>0.85</v>
          </cell>
        </row>
        <row r="2284">
          <cell r="B2284" t="str">
            <v>Bhuvan K</v>
          </cell>
          <cell r="I2284" t="str">
            <v>Correct</v>
          </cell>
          <cell r="J2284">
            <v>1.29</v>
          </cell>
          <cell r="K2284" t="str">
            <v>Low</v>
          </cell>
          <cell r="AB2284">
            <v>2</v>
          </cell>
        </row>
        <row r="2285">
          <cell r="B2285" t="str">
            <v>Bhuvan K</v>
          </cell>
          <cell r="I2285" t="str">
            <v>Correct</v>
          </cell>
          <cell r="J2285">
            <v>1.52</v>
          </cell>
          <cell r="K2285" t="str">
            <v>Low</v>
          </cell>
          <cell r="AB2285">
            <v>0.99</v>
          </cell>
        </row>
        <row r="2286">
          <cell r="B2286" t="str">
            <v>Bhuvan K</v>
          </cell>
          <cell r="I2286" t="str">
            <v>Correct</v>
          </cell>
          <cell r="J2286">
            <v>1.68</v>
          </cell>
          <cell r="K2286" t="str">
            <v>Low</v>
          </cell>
          <cell r="AB2286">
            <v>0.89</v>
          </cell>
        </row>
        <row r="2287">
          <cell r="B2287" t="str">
            <v>Bhuvan K</v>
          </cell>
          <cell r="I2287" t="str">
            <v>Correct</v>
          </cell>
          <cell r="J2287">
            <v>1.73</v>
          </cell>
          <cell r="K2287" t="str">
            <v>Low</v>
          </cell>
          <cell r="AB2287">
            <v>1.73</v>
          </cell>
        </row>
        <row r="2288">
          <cell r="B2288" t="str">
            <v>Bhuvan K</v>
          </cell>
          <cell r="I2288" t="str">
            <v>Wrong</v>
          </cell>
          <cell r="J2288">
            <v>1.92</v>
          </cell>
          <cell r="K2288" t="str">
            <v>Low</v>
          </cell>
          <cell r="AB2288">
            <v>0</v>
          </cell>
        </row>
        <row r="2289">
          <cell r="B2289" t="str">
            <v>Bhuvan K</v>
          </cell>
          <cell r="I2289" t="str">
            <v>Correct</v>
          </cell>
          <cell r="J2289">
            <v>1.83</v>
          </cell>
          <cell r="K2289" t="str">
            <v>Low</v>
          </cell>
          <cell r="AB2289">
            <v>1.64</v>
          </cell>
        </row>
        <row r="2290">
          <cell r="B2290" t="str">
            <v>Bhuvan K</v>
          </cell>
          <cell r="I2290" t="str">
            <v>Correct</v>
          </cell>
          <cell r="J2290">
            <v>1.88</v>
          </cell>
          <cell r="K2290" t="str">
            <v>Low</v>
          </cell>
          <cell r="AB2290">
            <v>1.6</v>
          </cell>
        </row>
        <row r="2291">
          <cell r="B2291" t="str">
            <v>Bhuvan K</v>
          </cell>
          <cell r="I2291" t="str">
            <v>Correct</v>
          </cell>
          <cell r="J2291">
            <v>2.14</v>
          </cell>
          <cell r="K2291" t="str">
            <v>Medium</v>
          </cell>
          <cell r="AB2291">
            <v>1.68</v>
          </cell>
        </row>
        <row r="2292">
          <cell r="B2292" t="str">
            <v>Bhuvan K</v>
          </cell>
          <cell r="I2292" t="str">
            <v>Wrong</v>
          </cell>
          <cell r="J2292">
            <v>1.38</v>
          </cell>
          <cell r="K2292" t="str">
            <v>Medium</v>
          </cell>
          <cell r="AB2292">
            <v>0</v>
          </cell>
        </row>
        <row r="2293">
          <cell r="B2293" t="str">
            <v>Bhuvan K</v>
          </cell>
          <cell r="I2293" t="str">
            <v>Correct</v>
          </cell>
          <cell r="J2293">
            <v>1.75</v>
          </cell>
          <cell r="K2293" t="str">
            <v>Medium</v>
          </cell>
          <cell r="AB2293">
            <v>2</v>
          </cell>
        </row>
        <row r="2294">
          <cell r="B2294" t="str">
            <v>Bhuvan K</v>
          </cell>
          <cell r="I2294" t="str">
            <v>Correct</v>
          </cell>
          <cell r="J2294">
            <v>1.64</v>
          </cell>
          <cell r="K2294" t="str">
            <v>Medium</v>
          </cell>
          <cell r="AB2294">
            <v>2</v>
          </cell>
        </row>
        <row r="2295">
          <cell r="B2295" t="str">
            <v>Bhuvan K</v>
          </cell>
          <cell r="I2295" t="str">
            <v>Wrong</v>
          </cell>
          <cell r="J2295">
            <v>1.54</v>
          </cell>
          <cell r="K2295" t="str">
            <v>Medium</v>
          </cell>
          <cell r="AB2295">
            <v>0</v>
          </cell>
        </row>
        <row r="2296">
          <cell r="B2296" t="str">
            <v>Bhuvan K</v>
          </cell>
          <cell r="I2296" t="str">
            <v>Correct</v>
          </cell>
          <cell r="J2296">
            <v>1.87</v>
          </cell>
          <cell r="K2296" t="str">
            <v>Medium</v>
          </cell>
          <cell r="AB2296">
            <v>1.93</v>
          </cell>
        </row>
        <row r="2297">
          <cell r="B2297" t="str">
            <v>Bhuvan K</v>
          </cell>
          <cell r="I2297" t="str">
            <v>Wrong</v>
          </cell>
          <cell r="J2297">
            <v>2.37</v>
          </cell>
          <cell r="K2297" t="str">
            <v>High</v>
          </cell>
          <cell r="AB2297">
            <v>0</v>
          </cell>
        </row>
        <row r="2298">
          <cell r="B2298" t="str">
            <v>Bhuvan K</v>
          </cell>
          <cell r="I2298" t="str">
            <v>Correct</v>
          </cell>
          <cell r="J2298">
            <v>1.34</v>
          </cell>
          <cell r="K2298" t="str">
            <v>High</v>
          </cell>
          <cell r="AB2298">
            <v>3</v>
          </cell>
        </row>
        <row r="2299">
          <cell r="B2299" t="str">
            <v>Bhuvan K</v>
          </cell>
          <cell r="I2299" t="str">
            <v>Correct</v>
          </cell>
          <cell r="J2299">
            <v>1.28</v>
          </cell>
          <cell r="K2299" t="str">
            <v>High</v>
          </cell>
          <cell r="AB2299">
            <v>3</v>
          </cell>
        </row>
        <row r="2300">
          <cell r="B2300" t="str">
            <v>Bhuvan K</v>
          </cell>
          <cell r="I2300" t="str">
            <v>Correct</v>
          </cell>
          <cell r="J2300">
            <v>1.96</v>
          </cell>
          <cell r="K2300" t="str">
            <v>High</v>
          </cell>
          <cell r="AB2300">
            <v>3</v>
          </cell>
        </row>
        <row r="2301">
          <cell r="B2301" t="str">
            <v>Bhuvan K</v>
          </cell>
          <cell r="I2301" t="str">
            <v>Correct</v>
          </cell>
          <cell r="J2301">
            <v>1.76</v>
          </cell>
          <cell r="K2301" t="str">
            <v>High</v>
          </cell>
          <cell r="AB2301">
            <v>3</v>
          </cell>
        </row>
        <row r="2302">
          <cell r="B2302" t="str">
            <v>Deepan Kumar</v>
          </cell>
          <cell r="I2302" t="str">
            <v>Correct</v>
          </cell>
          <cell r="J2302">
            <v>1.24</v>
          </cell>
          <cell r="K2302" t="str">
            <v>Low</v>
          </cell>
          <cell r="AB2302">
            <v>2</v>
          </cell>
        </row>
        <row r="2303">
          <cell r="B2303" t="str">
            <v>Deepan Kumar</v>
          </cell>
          <cell r="I2303" t="str">
            <v>Correct</v>
          </cell>
          <cell r="J2303">
            <v>1.43</v>
          </cell>
          <cell r="K2303" t="str">
            <v>Low</v>
          </cell>
          <cell r="AB2303">
            <v>1</v>
          </cell>
        </row>
        <row r="2304">
          <cell r="B2304" t="str">
            <v>Deepan Kumar</v>
          </cell>
          <cell r="I2304" t="str">
            <v>Correct</v>
          </cell>
          <cell r="J2304">
            <v>1.58</v>
          </cell>
          <cell r="K2304" t="str">
            <v>Low</v>
          </cell>
          <cell r="AB2304">
            <v>1.9</v>
          </cell>
        </row>
        <row r="2305">
          <cell r="B2305" t="str">
            <v>Deepan Kumar</v>
          </cell>
          <cell r="I2305" t="str">
            <v>Correct</v>
          </cell>
          <cell r="J2305">
            <v>1.92</v>
          </cell>
          <cell r="K2305" t="str">
            <v>Low</v>
          </cell>
          <cell r="AB2305">
            <v>0.78</v>
          </cell>
        </row>
        <row r="2306">
          <cell r="B2306" t="str">
            <v>Deepan Kumar</v>
          </cell>
          <cell r="I2306" t="str">
            <v>Wrong</v>
          </cell>
          <cell r="J2306">
            <v>1.39</v>
          </cell>
          <cell r="K2306" t="str">
            <v>Low</v>
          </cell>
          <cell r="AB2306">
            <v>0</v>
          </cell>
        </row>
        <row r="2307">
          <cell r="B2307" t="str">
            <v>Deepan Kumar</v>
          </cell>
          <cell r="I2307" t="str">
            <v>Correct</v>
          </cell>
          <cell r="J2307">
            <v>0.9</v>
          </cell>
          <cell r="K2307" t="str">
            <v>Low</v>
          </cell>
          <cell r="AB2307">
            <v>2</v>
          </cell>
        </row>
        <row r="2308">
          <cell r="B2308" t="str">
            <v>Deepan Kumar</v>
          </cell>
          <cell r="I2308" t="str">
            <v>Correct</v>
          </cell>
          <cell r="J2308">
            <v>1.27</v>
          </cell>
          <cell r="K2308" t="str">
            <v>Low</v>
          </cell>
          <cell r="AB2308">
            <v>1</v>
          </cell>
        </row>
        <row r="2309">
          <cell r="B2309" t="str">
            <v>Deepan Kumar</v>
          </cell>
          <cell r="I2309" t="str">
            <v>Wrong</v>
          </cell>
          <cell r="J2309">
            <v>1.28</v>
          </cell>
          <cell r="K2309" t="str">
            <v>Low</v>
          </cell>
          <cell r="AB2309">
            <v>0</v>
          </cell>
        </row>
        <row r="2310">
          <cell r="B2310" t="str">
            <v>Deepan Kumar</v>
          </cell>
          <cell r="I2310" t="str">
            <v>Correct</v>
          </cell>
          <cell r="J2310">
            <v>1.93</v>
          </cell>
          <cell r="K2310" t="str">
            <v>Low</v>
          </cell>
          <cell r="AB2310">
            <v>1.55</v>
          </cell>
        </row>
        <row r="2311">
          <cell r="B2311" t="str">
            <v>Deepan Kumar</v>
          </cell>
          <cell r="I2311" t="str">
            <v>Wrong</v>
          </cell>
          <cell r="J2311">
            <v>1.53</v>
          </cell>
          <cell r="K2311" t="str">
            <v>Medium</v>
          </cell>
          <cell r="AB2311">
            <v>0</v>
          </cell>
        </row>
        <row r="2312">
          <cell r="B2312" t="str">
            <v>Deepan Kumar</v>
          </cell>
          <cell r="I2312" t="str">
            <v>Correct</v>
          </cell>
          <cell r="J2312">
            <v>1.99</v>
          </cell>
          <cell r="K2312" t="str">
            <v>Medium</v>
          </cell>
          <cell r="AB2312">
            <v>1.81</v>
          </cell>
        </row>
        <row r="2313">
          <cell r="B2313" t="str">
            <v>Deepan Kumar</v>
          </cell>
          <cell r="I2313" t="str">
            <v>Wrong</v>
          </cell>
          <cell r="J2313">
            <v>1.55</v>
          </cell>
          <cell r="K2313" t="str">
            <v>Medium</v>
          </cell>
          <cell r="AB2313">
            <v>0</v>
          </cell>
        </row>
        <row r="2314">
          <cell r="B2314" t="str">
            <v>Deepan Kumar</v>
          </cell>
          <cell r="I2314" t="str">
            <v>Wrong</v>
          </cell>
          <cell r="J2314">
            <v>1.5</v>
          </cell>
          <cell r="K2314" t="str">
            <v>Medium</v>
          </cell>
          <cell r="AB2314">
            <v>0</v>
          </cell>
        </row>
        <row r="2315">
          <cell r="B2315" t="str">
            <v>Deepan Kumar</v>
          </cell>
          <cell r="I2315" t="str">
            <v>Wrong</v>
          </cell>
          <cell r="J2315">
            <v>2.2599999999999998</v>
          </cell>
          <cell r="K2315" t="str">
            <v>Medium</v>
          </cell>
          <cell r="AB2315">
            <v>0</v>
          </cell>
        </row>
        <row r="2316">
          <cell r="B2316" t="str">
            <v>Deepan Kumar</v>
          </cell>
          <cell r="I2316" t="str">
            <v>Correct</v>
          </cell>
          <cell r="J2316">
            <v>1.18</v>
          </cell>
          <cell r="K2316" t="str">
            <v>Medium</v>
          </cell>
          <cell r="AB2316">
            <v>2</v>
          </cell>
        </row>
        <row r="2317">
          <cell r="B2317" t="str">
            <v>Deepan Kumar</v>
          </cell>
          <cell r="I2317" t="str">
            <v>Wrong</v>
          </cell>
          <cell r="J2317">
            <v>2.4300000000000002</v>
          </cell>
          <cell r="K2317" t="str">
            <v>High</v>
          </cell>
          <cell r="AB2317">
            <v>0</v>
          </cell>
        </row>
        <row r="2318">
          <cell r="B2318" t="str">
            <v>Deepan Kumar</v>
          </cell>
          <cell r="I2318" t="str">
            <v>Correct</v>
          </cell>
          <cell r="J2318">
            <v>1.31</v>
          </cell>
          <cell r="K2318" t="str">
            <v>High</v>
          </cell>
          <cell r="AB2318">
            <v>3</v>
          </cell>
        </row>
        <row r="2319">
          <cell r="B2319" t="str">
            <v>Deepan Kumar</v>
          </cell>
          <cell r="I2319" t="str">
            <v>Wrong</v>
          </cell>
          <cell r="J2319">
            <v>2.1</v>
          </cell>
          <cell r="K2319" t="str">
            <v>High</v>
          </cell>
          <cell r="AB2319">
            <v>0</v>
          </cell>
        </row>
        <row r="2320">
          <cell r="B2320" t="str">
            <v>Deepan Kumar</v>
          </cell>
          <cell r="I2320" t="str">
            <v>Correct</v>
          </cell>
          <cell r="J2320">
            <v>2.23</v>
          </cell>
          <cell r="K2320" t="str">
            <v>High</v>
          </cell>
          <cell r="AB2320">
            <v>2.69</v>
          </cell>
        </row>
        <row r="2321">
          <cell r="B2321" t="str">
            <v>Deepan Kumar</v>
          </cell>
          <cell r="I2321" t="str">
            <v>Wrong</v>
          </cell>
          <cell r="J2321">
            <v>1.41</v>
          </cell>
          <cell r="K2321" t="str">
            <v>High</v>
          </cell>
          <cell r="AB2321">
            <v>0</v>
          </cell>
        </row>
        <row r="2322">
          <cell r="B2322" t="str">
            <v>Gokila M</v>
          </cell>
          <cell r="I2322" t="str">
            <v>Correct</v>
          </cell>
          <cell r="J2322">
            <v>1.43</v>
          </cell>
          <cell r="K2322" t="str">
            <v>Low</v>
          </cell>
          <cell r="AB2322">
            <v>2</v>
          </cell>
        </row>
        <row r="2323">
          <cell r="B2323" t="str">
            <v>Gokila M</v>
          </cell>
          <cell r="I2323" t="str">
            <v>Correct</v>
          </cell>
          <cell r="J2323">
            <v>1.4</v>
          </cell>
          <cell r="K2323" t="str">
            <v>Low</v>
          </cell>
          <cell r="AB2323">
            <v>1</v>
          </cell>
        </row>
        <row r="2324">
          <cell r="B2324" t="str">
            <v>Gokila M</v>
          </cell>
          <cell r="I2324" t="str">
            <v>Correct</v>
          </cell>
          <cell r="J2324">
            <v>1.65</v>
          </cell>
          <cell r="K2324" t="str">
            <v>Low</v>
          </cell>
          <cell r="AB2324">
            <v>1.82</v>
          </cell>
        </row>
        <row r="2325">
          <cell r="B2325" t="str">
            <v>Gokila M</v>
          </cell>
          <cell r="I2325" t="str">
            <v>Wrong</v>
          </cell>
          <cell r="J2325">
            <v>1.42</v>
          </cell>
          <cell r="K2325" t="str">
            <v>Low</v>
          </cell>
          <cell r="AB2325">
            <v>0</v>
          </cell>
        </row>
        <row r="2326">
          <cell r="B2326" t="str">
            <v>Gokila M</v>
          </cell>
          <cell r="I2326" t="str">
            <v>Correct</v>
          </cell>
          <cell r="J2326">
            <v>1.1000000000000001</v>
          </cell>
          <cell r="K2326" t="str">
            <v>Low</v>
          </cell>
          <cell r="AB2326">
            <v>1</v>
          </cell>
        </row>
        <row r="2327">
          <cell r="B2327" t="str">
            <v>Gokila M</v>
          </cell>
          <cell r="I2327" t="str">
            <v>Correct</v>
          </cell>
          <cell r="J2327">
            <v>1.88</v>
          </cell>
          <cell r="K2327" t="str">
            <v>Low</v>
          </cell>
          <cell r="AB2327">
            <v>1.6</v>
          </cell>
        </row>
        <row r="2328">
          <cell r="B2328" t="str">
            <v>Gokila M</v>
          </cell>
          <cell r="I2328" t="str">
            <v>Correct</v>
          </cell>
          <cell r="J2328">
            <v>1.08</v>
          </cell>
          <cell r="K2328" t="str">
            <v>Low</v>
          </cell>
          <cell r="AB2328">
            <v>1</v>
          </cell>
        </row>
        <row r="2329">
          <cell r="B2329" t="str">
            <v>Gokila M</v>
          </cell>
          <cell r="I2329" t="str">
            <v>Correct</v>
          </cell>
          <cell r="J2329">
            <v>1.71</v>
          </cell>
          <cell r="K2329" t="str">
            <v>Low</v>
          </cell>
          <cell r="AB2329">
            <v>1.75</v>
          </cell>
        </row>
        <row r="2330">
          <cell r="B2330" t="str">
            <v>Gokila M</v>
          </cell>
          <cell r="I2330" t="str">
            <v>Correct</v>
          </cell>
          <cell r="J2330">
            <v>1.66</v>
          </cell>
          <cell r="K2330" t="str">
            <v>Low</v>
          </cell>
          <cell r="AB2330">
            <v>1.81</v>
          </cell>
        </row>
        <row r="2331">
          <cell r="B2331" t="str">
            <v>Gokila M</v>
          </cell>
          <cell r="I2331" t="str">
            <v>Correct</v>
          </cell>
          <cell r="J2331">
            <v>1.37</v>
          </cell>
          <cell r="K2331" t="str">
            <v>Medium</v>
          </cell>
          <cell r="AB2331">
            <v>2</v>
          </cell>
        </row>
        <row r="2332">
          <cell r="B2332" t="str">
            <v>Gokila M</v>
          </cell>
          <cell r="I2332" t="str">
            <v>Wrong</v>
          </cell>
          <cell r="J2332">
            <v>1.38</v>
          </cell>
          <cell r="K2332" t="str">
            <v>Medium</v>
          </cell>
          <cell r="AB2332">
            <v>0</v>
          </cell>
        </row>
        <row r="2333">
          <cell r="B2333" t="str">
            <v>Gokila M</v>
          </cell>
          <cell r="I2333" t="str">
            <v>Correct</v>
          </cell>
          <cell r="J2333">
            <v>2.13</v>
          </cell>
          <cell r="K2333" t="str">
            <v>Medium</v>
          </cell>
          <cell r="AB2333">
            <v>1.69</v>
          </cell>
        </row>
        <row r="2334">
          <cell r="B2334" t="str">
            <v>Gokila M</v>
          </cell>
          <cell r="I2334" t="str">
            <v>Correct</v>
          </cell>
          <cell r="J2334">
            <v>1.97</v>
          </cell>
          <cell r="K2334" t="str">
            <v>Medium</v>
          </cell>
          <cell r="AB2334">
            <v>1.83</v>
          </cell>
        </row>
        <row r="2335">
          <cell r="B2335" t="str">
            <v>Gokila M</v>
          </cell>
          <cell r="I2335" t="str">
            <v>Correct</v>
          </cell>
          <cell r="J2335">
            <v>1.3</v>
          </cell>
          <cell r="K2335" t="str">
            <v>Medium</v>
          </cell>
          <cell r="AB2335">
            <v>2</v>
          </cell>
        </row>
        <row r="2336">
          <cell r="B2336" t="str">
            <v>Gokila M</v>
          </cell>
          <cell r="I2336" t="str">
            <v>Wrong</v>
          </cell>
          <cell r="J2336">
            <v>2.06</v>
          </cell>
          <cell r="K2336" t="str">
            <v>Medium</v>
          </cell>
          <cell r="AB2336">
            <v>0</v>
          </cell>
        </row>
        <row r="2337">
          <cell r="B2337" t="str">
            <v>Gokila M</v>
          </cell>
          <cell r="I2337" t="str">
            <v>Wrong</v>
          </cell>
          <cell r="J2337">
            <v>1.38</v>
          </cell>
          <cell r="K2337" t="str">
            <v>High</v>
          </cell>
          <cell r="AB2337">
            <v>0</v>
          </cell>
        </row>
        <row r="2338">
          <cell r="B2338" t="str">
            <v>Gokila M</v>
          </cell>
          <cell r="I2338" t="str">
            <v>Correct</v>
          </cell>
          <cell r="J2338">
            <v>1.24</v>
          </cell>
          <cell r="K2338" t="str">
            <v>High</v>
          </cell>
          <cell r="AB2338">
            <v>3</v>
          </cell>
        </row>
        <row r="2339">
          <cell r="B2339" t="str">
            <v>Gokila M</v>
          </cell>
          <cell r="I2339" t="str">
            <v>Wrong</v>
          </cell>
          <cell r="J2339">
            <v>1.3</v>
          </cell>
          <cell r="K2339" t="str">
            <v>High</v>
          </cell>
          <cell r="AB2339">
            <v>0</v>
          </cell>
        </row>
        <row r="2340">
          <cell r="B2340" t="str">
            <v>Gokila M</v>
          </cell>
          <cell r="I2340" t="str">
            <v>Correct</v>
          </cell>
          <cell r="J2340">
            <v>2.4300000000000002</v>
          </cell>
          <cell r="K2340" t="str">
            <v>High</v>
          </cell>
          <cell r="AB2340">
            <v>2.4700000000000002</v>
          </cell>
        </row>
        <row r="2341">
          <cell r="B2341" t="str">
            <v>Gokila M</v>
          </cell>
          <cell r="I2341" t="str">
            <v>Wrong</v>
          </cell>
          <cell r="J2341">
            <v>2.1</v>
          </cell>
          <cell r="K2341" t="str">
            <v>High</v>
          </cell>
          <cell r="AB2341">
            <v>0</v>
          </cell>
        </row>
        <row r="2342">
          <cell r="B2342" t="str">
            <v>Hari Prasad</v>
          </cell>
          <cell r="I2342" t="str">
            <v>Wrong</v>
          </cell>
          <cell r="J2342">
            <v>1.54</v>
          </cell>
          <cell r="K2342" t="str">
            <v>Low</v>
          </cell>
          <cell r="AB2342">
            <v>0</v>
          </cell>
        </row>
        <row r="2343">
          <cell r="B2343" t="str">
            <v>Hari Prasad</v>
          </cell>
          <cell r="I2343" t="str">
            <v>Correct</v>
          </cell>
          <cell r="J2343">
            <v>1.92</v>
          </cell>
          <cell r="K2343" t="str">
            <v>Low</v>
          </cell>
          <cell r="AB2343">
            <v>0.78</v>
          </cell>
        </row>
        <row r="2344">
          <cell r="B2344" t="str">
            <v>Hari Prasad</v>
          </cell>
          <cell r="I2344" t="str">
            <v>Correct</v>
          </cell>
          <cell r="J2344">
            <v>1.1399999999999999</v>
          </cell>
          <cell r="K2344" t="str">
            <v>Low</v>
          </cell>
          <cell r="AB2344">
            <v>2</v>
          </cell>
        </row>
        <row r="2345">
          <cell r="B2345" t="str">
            <v>Hari Prasad</v>
          </cell>
          <cell r="I2345" t="str">
            <v>Correct</v>
          </cell>
          <cell r="J2345">
            <v>2</v>
          </cell>
          <cell r="K2345" t="str">
            <v>Low</v>
          </cell>
          <cell r="AB2345">
            <v>0.75</v>
          </cell>
        </row>
        <row r="2346">
          <cell r="B2346" t="str">
            <v>Hari Prasad</v>
          </cell>
          <cell r="I2346" t="str">
            <v>Wrong</v>
          </cell>
          <cell r="J2346">
            <v>0.93</v>
          </cell>
          <cell r="K2346" t="str">
            <v>Low</v>
          </cell>
          <cell r="AB2346">
            <v>0</v>
          </cell>
        </row>
        <row r="2347">
          <cell r="B2347" t="str">
            <v>Hari Prasad</v>
          </cell>
          <cell r="I2347" t="str">
            <v>Correct</v>
          </cell>
          <cell r="J2347">
            <v>1.9</v>
          </cell>
          <cell r="K2347" t="str">
            <v>Low</v>
          </cell>
          <cell r="AB2347">
            <v>1.58</v>
          </cell>
        </row>
        <row r="2348">
          <cell r="B2348" t="str">
            <v>Hari Prasad</v>
          </cell>
          <cell r="I2348" t="str">
            <v>Wrong</v>
          </cell>
          <cell r="J2348">
            <v>1.76</v>
          </cell>
          <cell r="K2348" t="str">
            <v>Low</v>
          </cell>
          <cell r="AB2348">
            <v>0</v>
          </cell>
        </row>
        <row r="2349">
          <cell r="B2349" t="str">
            <v>Hari Prasad</v>
          </cell>
          <cell r="I2349" t="str">
            <v>Wrong</v>
          </cell>
          <cell r="J2349">
            <v>1.24</v>
          </cell>
          <cell r="K2349" t="str">
            <v>Low</v>
          </cell>
          <cell r="AB2349">
            <v>0</v>
          </cell>
        </row>
        <row r="2350">
          <cell r="B2350" t="str">
            <v>Hari Prasad</v>
          </cell>
          <cell r="I2350" t="str">
            <v>Wrong</v>
          </cell>
          <cell r="J2350">
            <v>1.34</v>
          </cell>
          <cell r="K2350" t="str">
            <v>Low</v>
          </cell>
          <cell r="AB2350">
            <v>0</v>
          </cell>
        </row>
        <row r="2351">
          <cell r="B2351" t="str">
            <v>Hari Prasad</v>
          </cell>
          <cell r="I2351" t="str">
            <v>Correct</v>
          </cell>
          <cell r="J2351">
            <v>1.61</v>
          </cell>
          <cell r="K2351" t="str">
            <v>Medium</v>
          </cell>
          <cell r="AB2351">
            <v>2</v>
          </cell>
        </row>
        <row r="2352">
          <cell r="B2352" t="str">
            <v>Hari Prasad</v>
          </cell>
          <cell r="I2352" t="str">
            <v>Correct</v>
          </cell>
          <cell r="J2352">
            <v>1.72</v>
          </cell>
          <cell r="K2352" t="str">
            <v>Medium</v>
          </cell>
          <cell r="AB2352">
            <v>2</v>
          </cell>
        </row>
        <row r="2353">
          <cell r="B2353" t="str">
            <v>Hari Prasad</v>
          </cell>
          <cell r="I2353" t="str">
            <v>Correct</v>
          </cell>
          <cell r="J2353">
            <v>2.16</v>
          </cell>
          <cell r="K2353" t="str">
            <v>Medium</v>
          </cell>
          <cell r="AB2353">
            <v>1.67</v>
          </cell>
        </row>
        <row r="2354">
          <cell r="B2354" t="str">
            <v>Hari Prasad</v>
          </cell>
          <cell r="I2354" t="str">
            <v>Correct</v>
          </cell>
          <cell r="J2354">
            <v>1.98</v>
          </cell>
          <cell r="K2354" t="str">
            <v>Medium</v>
          </cell>
          <cell r="AB2354">
            <v>1.82</v>
          </cell>
        </row>
        <row r="2355">
          <cell r="B2355" t="str">
            <v>Hari Prasad</v>
          </cell>
          <cell r="I2355" t="str">
            <v>Correct</v>
          </cell>
          <cell r="J2355">
            <v>1.9</v>
          </cell>
          <cell r="K2355" t="str">
            <v>Medium</v>
          </cell>
          <cell r="AB2355">
            <v>1.89</v>
          </cell>
        </row>
        <row r="2356">
          <cell r="B2356" t="str">
            <v>Hari Prasad</v>
          </cell>
          <cell r="I2356" t="str">
            <v>Wrong</v>
          </cell>
          <cell r="J2356">
            <v>2.2599999999999998</v>
          </cell>
          <cell r="K2356" t="str">
            <v>Medium</v>
          </cell>
          <cell r="AB2356">
            <v>0</v>
          </cell>
        </row>
        <row r="2357">
          <cell r="B2357" t="str">
            <v>Hari Prasad</v>
          </cell>
          <cell r="I2357" t="str">
            <v>Correct</v>
          </cell>
          <cell r="J2357">
            <v>1.38</v>
          </cell>
          <cell r="K2357" t="str">
            <v>High</v>
          </cell>
          <cell r="AB2357">
            <v>3</v>
          </cell>
        </row>
        <row r="2358">
          <cell r="B2358" t="str">
            <v>Hari Prasad</v>
          </cell>
          <cell r="I2358" t="str">
            <v>Wrong</v>
          </cell>
          <cell r="J2358">
            <v>1.31</v>
          </cell>
          <cell r="K2358" t="str">
            <v>High</v>
          </cell>
          <cell r="AB2358">
            <v>0</v>
          </cell>
        </row>
        <row r="2359">
          <cell r="B2359" t="str">
            <v>Hari Prasad</v>
          </cell>
          <cell r="I2359" t="str">
            <v>Wrong</v>
          </cell>
          <cell r="J2359">
            <v>2.42</v>
          </cell>
          <cell r="K2359" t="str">
            <v>High</v>
          </cell>
          <cell r="AB2359">
            <v>0</v>
          </cell>
        </row>
        <row r="2360">
          <cell r="B2360" t="str">
            <v>Hari Prasad</v>
          </cell>
          <cell r="I2360" t="str">
            <v>Wrong</v>
          </cell>
          <cell r="J2360">
            <v>2.04</v>
          </cell>
          <cell r="K2360" t="str">
            <v>High</v>
          </cell>
          <cell r="AB2360">
            <v>0</v>
          </cell>
        </row>
        <row r="2361">
          <cell r="B2361" t="str">
            <v>Hari Prasad</v>
          </cell>
          <cell r="I2361" t="str">
            <v>Wrong</v>
          </cell>
          <cell r="J2361">
            <v>1.88</v>
          </cell>
          <cell r="K2361" t="str">
            <v>High</v>
          </cell>
          <cell r="AB2361">
            <v>0</v>
          </cell>
        </row>
        <row r="2362">
          <cell r="B2362" t="str">
            <v>Ilakkiya S</v>
          </cell>
          <cell r="I2362" t="str">
            <v>Correct</v>
          </cell>
          <cell r="J2362">
            <v>1.9</v>
          </cell>
          <cell r="K2362" t="str">
            <v>Low</v>
          </cell>
          <cell r="AB2362">
            <v>1.58</v>
          </cell>
        </row>
        <row r="2363">
          <cell r="B2363" t="str">
            <v>Ilakkiya S</v>
          </cell>
          <cell r="I2363" t="str">
            <v>Correct</v>
          </cell>
          <cell r="J2363">
            <v>1.5</v>
          </cell>
          <cell r="K2363" t="str">
            <v>Low</v>
          </cell>
          <cell r="AB2363">
            <v>1</v>
          </cell>
        </row>
        <row r="2364">
          <cell r="B2364" t="str">
            <v>Ilakkiya S</v>
          </cell>
          <cell r="I2364" t="str">
            <v>Correct</v>
          </cell>
          <cell r="J2364">
            <v>1.73</v>
          </cell>
          <cell r="K2364" t="str">
            <v>Low</v>
          </cell>
          <cell r="AB2364">
            <v>1.73</v>
          </cell>
        </row>
        <row r="2365">
          <cell r="B2365" t="str">
            <v>Ilakkiya S</v>
          </cell>
          <cell r="I2365" t="str">
            <v>Correct</v>
          </cell>
          <cell r="J2365">
            <v>1.74</v>
          </cell>
          <cell r="K2365" t="str">
            <v>Low</v>
          </cell>
          <cell r="AB2365">
            <v>0.86</v>
          </cell>
        </row>
        <row r="2366">
          <cell r="B2366" t="str">
            <v>Ilakkiya S</v>
          </cell>
          <cell r="I2366" t="str">
            <v>Correct</v>
          </cell>
          <cell r="J2366">
            <v>1.89</v>
          </cell>
          <cell r="K2366" t="str">
            <v>Low</v>
          </cell>
          <cell r="AB2366">
            <v>0.79</v>
          </cell>
        </row>
        <row r="2367">
          <cell r="B2367" t="str">
            <v>Ilakkiya S</v>
          </cell>
          <cell r="I2367" t="str">
            <v>Correct</v>
          </cell>
          <cell r="J2367">
            <v>1.62</v>
          </cell>
          <cell r="K2367" t="str">
            <v>Low</v>
          </cell>
          <cell r="AB2367">
            <v>1.85</v>
          </cell>
        </row>
        <row r="2368">
          <cell r="B2368" t="str">
            <v>Ilakkiya S</v>
          </cell>
          <cell r="I2368" t="str">
            <v>Correct</v>
          </cell>
          <cell r="J2368">
            <v>1.1200000000000001</v>
          </cell>
          <cell r="K2368" t="str">
            <v>Low</v>
          </cell>
          <cell r="AB2368">
            <v>1</v>
          </cell>
        </row>
        <row r="2369">
          <cell r="B2369" t="str">
            <v>Ilakkiya S</v>
          </cell>
          <cell r="I2369" t="str">
            <v>Correct</v>
          </cell>
          <cell r="J2369">
            <v>1.37</v>
          </cell>
          <cell r="K2369" t="str">
            <v>Low</v>
          </cell>
          <cell r="AB2369">
            <v>2</v>
          </cell>
        </row>
        <row r="2370">
          <cell r="B2370" t="str">
            <v>Ilakkiya S</v>
          </cell>
          <cell r="I2370" t="str">
            <v>Wrong</v>
          </cell>
          <cell r="J2370">
            <v>1.5</v>
          </cell>
          <cell r="K2370" t="str">
            <v>Low</v>
          </cell>
          <cell r="AB2370">
            <v>0</v>
          </cell>
        </row>
        <row r="2371">
          <cell r="B2371" t="str">
            <v>Ilakkiya S</v>
          </cell>
          <cell r="I2371" t="str">
            <v>Correct</v>
          </cell>
          <cell r="J2371">
            <v>1.81</v>
          </cell>
          <cell r="K2371" t="str">
            <v>Medium</v>
          </cell>
          <cell r="AB2371">
            <v>1.99</v>
          </cell>
        </row>
        <row r="2372">
          <cell r="B2372" t="str">
            <v>Ilakkiya S</v>
          </cell>
          <cell r="I2372" t="str">
            <v>Correct</v>
          </cell>
          <cell r="J2372">
            <v>1.49</v>
          </cell>
          <cell r="K2372" t="str">
            <v>Medium</v>
          </cell>
          <cell r="AB2372">
            <v>2</v>
          </cell>
        </row>
        <row r="2373">
          <cell r="B2373" t="str">
            <v>Ilakkiya S</v>
          </cell>
          <cell r="I2373" t="str">
            <v>Correct</v>
          </cell>
          <cell r="J2373">
            <v>1.73</v>
          </cell>
          <cell r="K2373" t="str">
            <v>Medium</v>
          </cell>
          <cell r="AB2373">
            <v>2</v>
          </cell>
        </row>
        <row r="2374">
          <cell r="B2374" t="str">
            <v>Ilakkiya S</v>
          </cell>
          <cell r="I2374" t="str">
            <v>Wrong</v>
          </cell>
          <cell r="J2374">
            <v>2.19</v>
          </cell>
          <cell r="K2374" t="str">
            <v>Medium</v>
          </cell>
          <cell r="AB2374">
            <v>0</v>
          </cell>
        </row>
        <row r="2375">
          <cell r="B2375" t="str">
            <v>Ilakkiya S</v>
          </cell>
          <cell r="I2375" t="str">
            <v>Correct</v>
          </cell>
          <cell r="J2375">
            <v>1.45</v>
          </cell>
          <cell r="K2375" t="str">
            <v>Medium</v>
          </cell>
          <cell r="AB2375">
            <v>2</v>
          </cell>
        </row>
        <row r="2376">
          <cell r="B2376" t="str">
            <v>Ilakkiya S</v>
          </cell>
          <cell r="I2376" t="str">
            <v>Wrong</v>
          </cell>
          <cell r="J2376">
            <v>1.48</v>
          </cell>
          <cell r="K2376" t="str">
            <v>Medium</v>
          </cell>
          <cell r="AB2376">
            <v>0</v>
          </cell>
        </row>
        <row r="2377">
          <cell r="B2377" t="str">
            <v>Ilakkiya S</v>
          </cell>
          <cell r="I2377" t="str">
            <v>Wrong</v>
          </cell>
          <cell r="J2377">
            <v>1.41</v>
          </cell>
          <cell r="K2377" t="str">
            <v>High</v>
          </cell>
          <cell r="AB2377">
            <v>0</v>
          </cell>
        </row>
        <row r="2378">
          <cell r="B2378" t="str">
            <v>Ilakkiya S</v>
          </cell>
          <cell r="I2378" t="str">
            <v>Wrong</v>
          </cell>
          <cell r="J2378">
            <v>2.2400000000000002</v>
          </cell>
          <cell r="K2378" t="str">
            <v>High</v>
          </cell>
          <cell r="AB2378">
            <v>0</v>
          </cell>
        </row>
        <row r="2379">
          <cell r="B2379" t="str">
            <v>Ilakkiya S</v>
          </cell>
          <cell r="I2379" t="str">
            <v>Wrong</v>
          </cell>
          <cell r="J2379">
            <v>2.57</v>
          </cell>
          <cell r="K2379" t="str">
            <v>High</v>
          </cell>
          <cell r="AB2379">
            <v>0</v>
          </cell>
        </row>
        <row r="2380">
          <cell r="B2380" t="str">
            <v>Ilakkiya S</v>
          </cell>
          <cell r="I2380" t="str">
            <v>Wrong</v>
          </cell>
          <cell r="J2380">
            <v>2.2999999999999998</v>
          </cell>
          <cell r="K2380" t="str">
            <v>High</v>
          </cell>
          <cell r="AB2380">
            <v>0</v>
          </cell>
        </row>
        <row r="2381">
          <cell r="B2381" t="str">
            <v>Ilakkiya S</v>
          </cell>
          <cell r="I2381" t="str">
            <v>Correct</v>
          </cell>
          <cell r="J2381">
            <v>2.2999999999999998</v>
          </cell>
          <cell r="K2381" t="str">
            <v>High</v>
          </cell>
          <cell r="AB2381">
            <v>2.61</v>
          </cell>
        </row>
        <row r="2382">
          <cell r="B2382" t="str">
            <v>Karthikeyan R</v>
          </cell>
          <cell r="I2382" t="str">
            <v>Wrong</v>
          </cell>
          <cell r="J2382">
            <v>1.21</v>
          </cell>
          <cell r="K2382" t="str">
            <v>Low</v>
          </cell>
          <cell r="AB2382">
            <v>0</v>
          </cell>
        </row>
        <row r="2383">
          <cell r="B2383" t="str">
            <v>Karthikeyan R</v>
          </cell>
          <cell r="I2383" t="str">
            <v>Correct</v>
          </cell>
          <cell r="J2383">
            <v>1.1599999999999999</v>
          </cell>
          <cell r="K2383" t="str">
            <v>Low</v>
          </cell>
          <cell r="AB2383">
            <v>1</v>
          </cell>
        </row>
        <row r="2384">
          <cell r="B2384" t="str">
            <v>Karthikeyan R</v>
          </cell>
          <cell r="I2384" t="str">
            <v>Correct</v>
          </cell>
          <cell r="J2384">
            <v>1.53</v>
          </cell>
          <cell r="K2384" t="str">
            <v>Low</v>
          </cell>
          <cell r="AB2384">
            <v>1.96</v>
          </cell>
        </row>
        <row r="2385">
          <cell r="B2385" t="str">
            <v>Karthikeyan R</v>
          </cell>
          <cell r="I2385" t="str">
            <v>Wrong</v>
          </cell>
          <cell r="J2385">
            <v>1.82</v>
          </cell>
          <cell r="K2385" t="str">
            <v>Low</v>
          </cell>
          <cell r="AB2385">
            <v>0</v>
          </cell>
        </row>
        <row r="2386">
          <cell r="B2386" t="str">
            <v>Karthikeyan R</v>
          </cell>
          <cell r="I2386" t="str">
            <v>Correct</v>
          </cell>
          <cell r="J2386">
            <v>1.91</v>
          </cell>
          <cell r="K2386" t="str">
            <v>Low</v>
          </cell>
          <cell r="AB2386">
            <v>0.79</v>
          </cell>
        </row>
        <row r="2387">
          <cell r="B2387" t="str">
            <v>Karthikeyan R</v>
          </cell>
          <cell r="I2387" t="str">
            <v>Wrong</v>
          </cell>
          <cell r="J2387">
            <v>1.68</v>
          </cell>
          <cell r="K2387" t="str">
            <v>Low</v>
          </cell>
          <cell r="AB2387">
            <v>0</v>
          </cell>
        </row>
        <row r="2388">
          <cell r="B2388" t="str">
            <v>Karthikeyan R</v>
          </cell>
          <cell r="I2388" t="str">
            <v>Correct</v>
          </cell>
          <cell r="J2388">
            <v>1.41</v>
          </cell>
          <cell r="K2388" t="str">
            <v>Low</v>
          </cell>
          <cell r="AB2388">
            <v>1</v>
          </cell>
        </row>
        <row r="2389">
          <cell r="B2389" t="str">
            <v>Karthikeyan R</v>
          </cell>
          <cell r="I2389" t="str">
            <v>Correct</v>
          </cell>
          <cell r="J2389">
            <v>1.29</v>
          </cell>
          <cell r="K2389" t="str">
            <v>Low</v>
          </cell>
          <cell r="AB2389">
            <v>2</v>
          </cell>
        </row>
        <row r="2390">
          <cell r="B2390" t="str">
            <v>Karthikeyan R</v>
          </cell>
          <cell r="I2390" t="str">
            <v>Wrong</v>
          </cell>
          <cell r="J2390">
            <v>1.96</v>
          </cell>
          <cell r="K2390" t="str">
            <v>Low</v>
          </cell>
          <cell r="AB2390">
            <v>0</v>
          </cell>
        </row>
        <row r="2391">
          <cell r="B2391" t="str">
            <v>Karthikeyan R</v>
          </cell>
          <cell r="I2391" t="str">
            <v>Wrong</v>
          </cell>
          <cell r="J2391">
            <v>1.93</v>
          </cell>
          <cell r="K2391" t="str">
            <v>Medium</v>
          </cell>
          <cell r="AB2391">
            <v>0</v>
          </cell>
        </row>
        <row r="2392">
          <cell r="B2392" t="str">
            <v>Karthikeyan R</v>
          </cell>
          <cell r="I2392" t="str">
            <v>Wrong</v>
          </cell>
          <cell r="J2392">
            <v>2.2200000000000002</v>
          </cell>
          <cell r="K2392" t="str">
            <v>Medium</v>
          </cell>
          <cell r="AB2392">
            <v>0</v>
          </cell>
        </row>
        <row r="2393">
          <cell r="B2393" t="str">
            <v>Karthikeyan R</v>
          </cell>
          <cell r="I2393" t="str">
            <v>Correct</v>
          </cell>
          <cell r="J2393">
            <v>1.1499999999999999</v>
          </cell>
          <cell r="K2393" t="str">
            <v>Medium</v>
          </cell>
          <cell r="AB2393">
            <v>2</v>
          </cell>
        </row>
        <row r="2394">
          <cell r="B2394" t="str">
            <v>Karthikeyan R</v>
          </cell>
          <cell r="I2394" t="str">
            <v>Correct</v>
          </cell>
          <cell r="J2394">
            <v>1.56</v>
          </cell>
          <cell r="K2394" t="str">
            <v>Medium</v>
          </cell>
          <cell r="AB2394">
            <v>2</v>
          </cell>
        </row>
        <row r="2395">
          <cell r="B2395" t="str">
            <v>Karthikeyan R</v>
          </cell>
          <cell r="I2395" t="str">
            <v>Correct</v>
          </cell>
          <cell r="J2395">
            <v>1.9</v>
          </cell>
          <cell r="K2395" t="str">
            <v>Medium</v>
          </cell>
          <cell r="AB2395">
            <v>1.89</v>
          </cell>
        </row>
        <row r="2396">
          <cell r="B2396" t="str">
            <v>Karthikeyan R</v>
          </cell>
          <cell r="I2396" t="str">
            <v>Correct</v>
          </cell>
          <cell r="J2396">
            <v>1.82</v>
          </cell>
          <cell r="K2396" t="str">
            <v>Medium</v>
          </cell>
          <cell r="AB2396">
            <v>1.98</v>
          </cell>
        </row>
        <row r="2397">
          <cell r="B2397" t="str">
            <v>Karthikeyan R</v>
          </cell>
          <cell r="I2397" t="str">
            <v>Correct</v>
          </cell>
          <cell r="J2397">
            <v>1.68</v>
          </cell>
          <cell r="K2397" t="str">
            <v>High</v>
          </cell>
          <cell r="AB2397">
            <v>3</v>
          </cell>
        </row>
        <row r="2398">
          <cell r="B2398" t="str">
            <v>Karthikeyan R</v>
          </cell>
          <cell r="I2398" t="str">
            <v>Correct</v>
          </cell>
          <cell r="J2398">
            <v>1.22</v>
          </cell>
          <cell r="K2398" t="str">
            <v>High</v>
          </cell>
          <cell r="AB2398">
            <v>3</v>
          </cell>
        </row>
        <row r="2399">
          <cell r="B2399" t="str">
            <v>Karthikeyan R</v>
          </cell>
          <cell r="I2399" t="str">
            <v>Wrong</v>
          </cell>
          <cell r="J2399">
            <v>1.79</v>
          </cell>
          <cell r="K2399" t="str">
            <v>High</v>
          </cell>
          <cell r="AB2399">
            <v>0</v>
          </cell>
        </row>
        <row r="2400">
          <cell r="B2400" t="str">
            <v>Karthikeyan R</v>
          </cell>
          <cell r="I2400" t="str">
            <v>Wrong</v>
          </cell>
          <cell r="J2400">
            <v>2.2200000000000002</v>
          </cell>
          <cell r="K2400" t="str">
            <v>High</v>
          </cell>
          <cell r="AB2400">
            <v>0</v>
          </cell>
        </row>
        <row r="2401">
          <cell r="B2401" t="str">
            <v>Karthikeyan R</v>
          </cell>
          <cell r="I2401" t="str">
            <v>Wrong</v>
          </cell>
          <cell r="J2401">
            <v>2.3199999999999998</v>
          </cell>
          <cell r="K2401" t="str">
            <v>High</v>
          </cell>
          <cell r="AB2401">
            <v>0</v>
          </cell>
        </row>
        <row r="2402">
          <cell r="B2402" t="str">
            <v>Mugilan S</v>
          </cell>
          <cell r="I2402" t="str">
            <v>Correct</v>
          </cell>
          <cell r="J2402">
            <v>1.77</v>
          </cell>
          <cell r="K2402" t="str">
            <v>Low</v>
          </cell>
          <cell r="AB2402">
            <v>1.69</v>
          </cell>
        </row>
        <row r="2403">
          <cell r="B2403" t="str">
            <v>Mugilan S</v>
          </cell>
          <cell r="I2403" t="str">
            <v>Wrong</v>
          </cell>
          <cell r="J2403">
            <v>1.55</v>
          </cell>
          <cell r="K2403" t="str">
            <v>Low</v>
          </cell>
          <cell r="AB2403">
            <v>0</v>
          </cell>
        </row>
        <row r="2404">
          <cell r="B2404" t="str">
            <v>Mugilan S</v>
          </cell>
          <cell r="I2404" t="str">
            <v>Correct</v>
          </cell>
          <cell r="J2404">
            <v>1.36</v>
          </cell>
          <cell r="K2404" t="str">
            <v>Low</v>
          </cell>
          <cell r="AB2404">
            <v>2</v>
          </cell>
        </row>
        <row r="2405">
          <cell r="B2405" t="str">
            <v>Mugilan S</v>
          </cell>
          <cell r="I2405" t="str">
            <v>Correct</v>
          </cell>
          <cell r="J2405">
            <v>1.81</v>
          </cell>
          <cell r="K2405" t="str">
            <v>Low</v>
          </cell>
          <cell r="AB2405">
            <v>0.83</v>
          </cell>
        </row>
        <row r="2406">
          <cell r="B2406" t="str">
            <v>Mugilan S</v>
          </cell>
          <cell r="I2406" t="str">
            <v>Correct</v>
          </cell>
          <cell r="J2406">
            <v>1.45</v>
          </cell>
          <cell r="K2406" t="str">
            <v>Low</v>
          </cell>
          <cell r="AB2406">
            <v>1</v>
          </cell>
        </row>
        <row r="2407">
          <cell r="B2407" t="str">
            <v>Mugilan S</v>
          </cell>
          <cell r="I2407" t="str">
            <v>Correct</v>
          </cell>
          <cell r="J2407">
            <v>0.98</v>
          </cell>
          <cell r="K2407" t="str">
            <v>Low</v>
          </cell>
          <cell r="AB2407">
            <v>2</v>
          </cell>
        </row>
        <row r="2408">
          <cell r="B2408" t="str">
            <v>Mugilan S</v>
          </cell>
          <cell r="I2408" t="str">
            <v>Correct</v>
          </cell>
          <cell r="J2408">
            <v>1.54</v>
          </cell>
          <cell r="K2408" t="str">
            <v>Low</v>
          </cell>
          <cell r="AB2408">
            <v>0.97</v>
          </cell>
        </row>
        <row r="2409">
          <cell r="B2409" t="str">
            <v>Mugilan S</v>
          </cell>
          <cell r="I2409" t="str">
            <v>Correct</v>
          </cell>
          <cell r="J2409">
            <v>1.28</v>
          </cell>
          <cell r="K2409" t="str">
            <v>Low</v>
          </cell>
          <cell r="AB2409">
            <v>2</v>
          </cell>
        </row>
        <row r="2410">
          <cell r="B2410" t="str">
            <v>Mugilan S</v>
          </cell>
          <cell r="I2410" t="str">
            <v>Correct</v>
          </cell>
          <cell r="J2410">
            <v>1.38</v>
          </cell>
          <cell r="K2410" t="str">
            <v>Low</v>
          </cell>
          <cell r="AB2410">
            <v>2</v>
          </cell>
        </row>
        <row r="2411">
          <cell r="B2411" t="str">
            <v>Mugilan S</v>
          </cell>
          <cell r="I2411" t="str">
            <v>Wrong</v>
          </cell>
          <cell r="J2411">
            <v>1.17</v>
          </cell>
          <cell r="K2411" t="str">
            <v>Medium</v>
          </cell>
          <cell r="AB2411">
            <v>0</v>
          </cell>
        </row>
        <row r="2412">
          <cell r="B2412" t="str">
            <v>Mugilan S</v>
          </cell>
          <cell r="I2412" t="str">
            <v>Wrong</v>
          </cell>
          <cell r="J2412">
            <v>1.37</v>
          </cell>
          <cell r="K2412" t="str">
            <v>Medium</v>
          </cell>
          <cell r="AB2412">
            <v>0</v>
          </cell>
        </row>
        <row r="2413">
          <cell r="B2413" t="str">
            <v>Mugilan S</v>
          </cell>
          <cell r="I2413" t="str">
            <v>Correct</v>
          </cell>
          <cell r="J2413">
            <v>2.29</v>
          </cell>
          <cell r="K2413" t="str">
            <v>Medium</v>
          </cell>
          <cell r="AB2413">
            <v>1.57</v>
          </cell>
        </row>
        <row r="2414">
          <cell r="B2414" t="str">
            <v>Mugilan S</v>
          </cell>
          <cell r="I2414" t="str">
            <v>Correct</v>
          </cell>
          <cell r="J2414">
            <v>1.36</v>
          </cell>
          <cell r="K2414" t="str">
            <v>Medium</v>
          </cell>
          <cell r="AB2414">
            <v>2</v>
          </cell>
        </row>
        <row r="2415">
          <cell r="B2415" t="str">
            <v>Mugilan S</v>
          </cell>
          <cell r="I2415" t="str">
            <v>Correct</v>
          </cell>
          <cell r="J2415">
            <v>1.63</v>
          </cell>
          <cell r="K2415" t="str">
            <v>Medium</v>
          </cell>
          <cell r="AB2415">
            <v>2</v>
          </cell>
        </row>
        <row r="2416">
          <cell r="B2416" t="str">
            <v>Mugilan S</v>
          </cell>
          <cell r="I2416" t="str">
            <v>Correct</v>
          </cell>
          <cell r="J2416">
            <v>1.91</v>
          </cell>
          <cell r="K2416" t="str">
            <v>Medium</v>
          </cell>
          <cell r="AB2416">
            <v>1.88</v>
          </cell>
        </row>
        <row r="2417">
          <cell r="B2417" t="str">
            <v>Mugilan S</v>
          </cell>
          <cell r="I2417" t="str">
            <v>Wrong</v>
          </cell>
          <cell r="J2417">
            <v>2.5099999999999998</v>
          </cell>
          <cell r="K2417" t="str">
            <v>High</v>
          </cell>
          <cell r="AB2417">
            <v>0</v>
          </cell>
        </row>
        <row r="2418">
          <cell r="B2418" t="str">
            <v>Mugilan S</v>
          </cell>
          <cell r="I2418" t="str">
            <v>Wrong</v>
          </cell>
          <cell r="J2418">
            <v>2.36</v>
          </cell>
          <cell r="K2418" t="str">
            <v>High</v>
          </cell>
          <cell r="AB2418">
            <v>0</v>
          </cell>
        </row>
        <row r="2419">
          <cell r="B2419" t="str">
            <v>Mugilan S</v>
          </cell>
          <cell r="I2419" t="str">
            <v>Correct</v>
          </cell>
          <cell r="J2419">
            <v>1.42</v>
          </cell>
          <cell r="K2419" t="str">
            <v>High</v>
          </cell>
          <cell r="AB2419">
            <v>3</v>
          </cell>
        </row>
        <row r="2420">
          <cell r="B2420" t="str">
            <v>Mugilan S</v>
          </cell>
          <cell r="I2420" t="str">
            <v>Correct</v>
          </cell>
          <cell r="J2420">
            <v>2.31</v>
          </cell>
          <cell r="K2420" t="str">
            <v>High</v>
          </cell>
          <cell r="AB2420">
            <v>2.6</v>
          </cell>
        </row>
        <row r="2421">
          <cell r="B2421" t="str">
            <v>Mugilan S</v>
          </cell>
          <cell r="I2421" t="str">
            <v>Correct</v>
          </cell>
          <cell r="J2421">
            <v>1.3</v>
          </cell>
          <cell r="K2421" t="str">
            <v>High</v>
          </cell>
          <cell r="AB2421">
            <v>3</v>
          </cell>
        </row>
        <row r="2422">
          <cell r="B2422" t="str">
            <v>Nivetha K</v>
          </cell>
          <cell r="I2422" t="str">
            <v>Correct</v>
          </cell>
          <cell r="J2422">
            <v>1.3</v>
          </cell>
          <cell r="K2422" t="str">
            <v>Low</v>
          </cell>
          <cell r="AB2422">
            <v>2</v>
          </cell>
        </row>
        <row r="2423">
          <cell r="B2423" t="str">
            <v>Nivetha K</v>
          </cell>
          <cell r="I2423" t="str">
            <v>Correct</v>
          </cell>
          <cell r="J2423">
            <v>1.86</v>
          </cell>
          <cell r="K2423" t="str">
            <v>Low</v>
          </cell>
          <cell r="AB2423">
            <v>0.81</v>
          </cell>
        </row>
        <row r="2424">
          <cell r="B2424" t="str">
            <v>Nivetha K</v>
          </cell>
          <cell r="I2424" t="str">
            <v>Correct</v>
          </cell>
          <cell r="J2424">
            <v>1.27</v>
          </cell>
          <cell r="K2424" t="str">
            <v>Low</v>
          </cell>
          <cell r="AB2424">
            <v>2</v>
          </cell>
        </row>
        <row r="2425">
          <cell r="B2425" t="str">
            <v>Nivetha K</v>
          </cell>
          <cell r="I2425" t="str">
            <v>Correct</v>
          </cell>
          <cell r="J2425">
            <v>1.76</v>
          </cell>
          <cell r="K2425" t="str">
            <v>Low</v>
          </cell>
          <cell r="AB2425">
            <v>0.85</v>
          </cell>
        </row>
        <row r="2426">
          <cell r="B2426" t="str">
            <v>Nivetha K</v>
          </cell>
          <cell r="I2426" t="str">
            <v>Correct</v>
          </cell>
          <cell r="J2426">
            <v>1.02</v>
          </cell>
          <cell r="K2426" t="str">
            <v>Low</v>
          </cell>
          <cell r="AB2426">
            <v>1</v>
          </cell>
        </row>
        <row r="2427">
          <cell r="B2427" t="str">
            <v>Nivetha K</v>
          </cell>
          <cell r="I2427" t="str">
            <v>Wrong</v>
          </cell>
          <cell r="J2427">
            <v>1.2</v>
          </cell>
          <cell r="K2427" t="str">
            <v>Low</v>
          </cell>
          <cell r="AB2427">
            <v>0</v>
          </cell>
        </row>
        <row r="2428">
          <cell r="B2428" t="str">
            <v>Nivetha K</v>
          </cell>
          <cell r="I2428" t="str">
            <v>Correct</v>
          </cell>
          <cell r="J2428">
            <v>1.96</v>
          </cell>
          <cell r="K2428" t="str">
            <v>Low</v>
          </cell>
          <cell r="AB2428">
            <v>0.77</v>
          </cell>
        </row>
        <row r="2429">
          <cell r="B2429" t="str">
            <v>Nivetha K</v>
          </cell>
          <cell r="I2429" t="str">
            <v>Correct</v>
          </cell>
          <cell r="J2429">
            <v>1.68</v>
          </cell>
          <cell r="K2429" t="str">
            <v>Low</v>
          </cell>
          <cell r="AB2429">
            <v>1.79</v>
          </cell>
        </row>
        <row r="2430">
          <cell r="B2430" t="str">
            <v>Nivetha K</v>
          </cell>
          <cell r="I2430" t="str">
            <v>Correct</v>
          </cell>
          <cell r="J2430">
            <v>1.74</v>
          </cell>
          <cell r="K2430" t="str">
            <v>Low</v>
          </cell>
          <cell r="AB2430">
            <v>1.72</v>
          </cell>
        </row>
        <row r="2431">
          <cell r="B2431" t="str">
            <v>Nivetha K</v>
          </cell>
          <cell r="I2431" t="str">
            <v>Correct</v>
          </cell>
          <cell r="J2431">
            <v>1.99</v>
          </cell>
          <cell r="K2431" t="str">
            <v>Medium</v>
          </cell>
          <cell r="AB2431">
            <v>1.81</v>
          </cell>
        </row>
        <row r="2432">
          <cell r="B2432" t="str">
            <v>Nivetha K</v>
          </cell>
          <cell r="I2432" t="str">
            <v>Correct</v>
          </cell>
          <cell r="J2432">
            <v>1.23</v>
          </cell>
          <cell r="K2432" t="str">
            <v>Medium</v>
          </cell>
          <cell r="AB2432">
            <v>2</v>
          </cell>
        </row>
        <row r="2433">
          <cell r="B2433" t="str">
            <v>Nivetha K</v>
          </cell>
          <cell r="I2433" t="str">
            <v>Correct</v>
          </cell>
          <cell r="J2433">
            <v>1.22</v>
          </cell>
          <cell r="K2433" t="str">
            <v>Medium</v>
          </cell>
          <cell r="AB2433">
            <v>2</v>
          </cell>
        </row>
        <row r="2434">
          <cell r="B2434" t="str">
            <v>Nivetha K</v>
          </cell>
          <cell r="I2434" t="str">
            <v>Wrong</v>
          </cell>
          <cell r="J2434">
            <v>1.95</v>
          </cell>
          <cell r="K2434" t="str">
            <v>Medium</v>
          </cell>
          <cell r="AB2434">
            <v>0</v>
          </cell>
        </row>
        <row r="2435">
          <cell r="B2435" t="str">
            <v>Nivetha K</v>
          </cell>
          <cell r="I2435" t="str">
            <v>Correct</v>
          </cell>
          <cell r="J2435">
            <v>1.98</v>
          </cell>
          <cell r="K2435" t="str">
            <v>Medium</v>
          </cell>
          <cell r="AB2435">
            <v>1.82</v>
          </cell>
        </row>
        <row r="2436">
          <cell r="B2436" t="str">
            <v>Nivetha K</v>
          </cell>
          <cell r="I2436" t="str">
            <v>Correct</v>
          </cell>
          <cell r="J2436">
            <v>1.2</v>
          </cell>
          <cell r="K2436" t="str">
            <v>Medium</v>
          </cell>
          <cell r="AB2436">
            <v>2</v>
          </cell>
        </row>
        <row r="2437">
          <cell r="B2437" t="str">
            <v>Nivetha K</v>
          </cell>
          <cell r="I2437" t="str">
            <v>Correct</v>
          </cell>
          <cell r="J2437">
            <v>2.2599999999999998</v>
          </cell>
          <cell r="K2437" t="str">
            <v>High</v>
          </cell>
          <cell r="AB2437">
            <v>2.66</v>
          </cell>
        </row>
        <row r="2438">
          <cell r="B2438" t="str">
            <v>Nivetha K</v>
          </cell>
          <cell r="I2438" t="str">
            <v>Correct</v>
          </cell>
          <cell r="J2438">
            <v>2.39</v>
          </cell>
          <cell r="K2438" t="str">
            <v>High</v>
          </cell>
          <cell r="AB2438">
            <v>2.5099999999999998</v>
          </cell>
        </row>
        <row r="2439">
          <cell r="B2439" t="str">
            <v>Nivetha K</v>
          </cell>
          <cell r="I2439" t="str">
            <v>Correct</v>
          </cell>
          <cell r="J2439">
            <v>1.42</v>
          </cell>
          <cell r="K2439" t="str">
            <v>High</v>
          </cell>
          <cell r="AB2439">
            <v>3</v>
          </cell>
        </row>
        <row r="2440">
          <cell r="B2440" t="str">
            <v>Nivetha K</v>
          </cell>
          <cell r="I2440" t="str">
            <v>Wrong</v>
          </cell>
          <cell r="J2440">
            <v>1.92</v>
          </cell>
          <cell r="K2440" t="str">
            <v>High</v>
          </cell>
          <cell r="AB2440">
            <v>0</v>
          </cell>
        </row>
        <row r="2441">
          <cell r="B2441" t="str">
            <v>Nivetha K</v>
          </cell>
          <cell r="I2441" t="str">
            <v>Correct</v>
          </cell>
          <cell r="J2441">
            <v>2.2000000000000002</v>
          </cell>
          <cell r="K2441" t="str">
            <v>High</v>
          </cell>
          <cell r="AB2441">
            <v>2.73</v>
          </cell>
        </row>
        <row r="2442">
          <cell r="B2442" t="str">
            <v>Pavithran M</v>
          </cell>
          <cell r="I2442" t="str">
            <v>Correct</v>
          </cell>
          <cell r="J2442">
            <v>1.67</v>
          </cell>
          <cell r="K2442" t="str">
            <v>Low</v>
          </cell>
          <cell r="AB2442">
            <v>1.8</v>
          </cell>
        </row>
        <row r="2443">
          <cell r="B2443" t="str">
            <v>Pavithran M</v>
          </cell>
          <cell r="I2443" t="str">
            <v>Wrong</v>
          </cell>
          <cell r="J2443">
            <v>1.05</v>
          </cell>
          <cell r="K2443" t="str">
            <v>Low</v>
          </cell>
          <cell r="AB2443">
            <v>0</v>
          </cell>
        </row>
        <row r="2444">
          <cell r="B2444" t="str">
            <v>Pavithran M</v>
          </cell>
          <cell r="I2444" t="str">
            <v>Correct</v>
          </cell>
          <cell r="J2444">
            <v>1.5</v>
          </cell>
          <cell r="K2444" t="str">
            <v>Low</v>
          </cell>
          <cell r="AB2444">
            <v>2</v>
          </cell>
        </row>
        <row r="2445">
          <cell r="B2445" t="str">
            <v>Pavithran M</v>
          </cell>
          <cell r="I2445" t="str">
            <v>Correct</v>
          </cell>
          <cell r="J2445">
            <v>1.22</v>
          </cell>
          <cell r="K2445" t="str">
            <v>Low</v>
          </cell>
          <cell r="AB2445">
            <v>1</v>
          </cell>
        </row>
        <row r="2446">
          <cell r="B2446" t="str">
            <v>Pavithran M</v>
          </cell>
          <cell r="I2446" t="str">
            <v>Correct</v>
          </cell>
          <cell r="J2446">
            <v>1.45</v>
          </cell>
          <cell r="K2446" t="str">
            <v>Low</v>
          </cell>
          <cell r="AB2446">
            <v>1</v>
          </cell>
        </row>
        <row r="2447">
          <cell r="B2447" t="str">
            <v>Pavithran M</v>
          </cell>
          <cell r="I2447" t="str">
            <v>Correct</v>
          </cell>
          <cell r="J2447">
            <v>1.26</v>
          </cell>
          <cell r="K2447" t="str">
            <v>Low</v>
          </cell>
          <cell r="AB2447">
            <v>2</v>
          </cell>
        </row>
        <row r="2448">
          <cell r="B2448" t="str">
            <v>Pavithran M</v>
          </cell>
          <cell r="I2448" t="str">
            <v>Correct</v>
          </cell>
          <cell r="J2448">
            <v>0.93</v>
          </cell>
          <cell r="K2448" t="str">
            <v>Low</v>
          </cell>
          <cell r="AB2448">
            <v>1</v>
          </cell>
        </row>
        <row r="2449">
          <cell r="B2449" t="str">
            <v>Pavithran M</v>
          </cell>
          <cell r="I2449" t="str">
            <v>Correct</v>
          </cell>
          <cell r="J2449">
            <v>1.1499999999999999</v>
          </cell>
          <cell r="K2449" t="str">
            <v>Low</v>
          </cell>
          <cell r="AB2449">
            <v>2</v>
          </cell>
        </row>
        <row r="2450">
          <cell r="B2450" t="str">
            <v>Pavithran M</v>
          </cell>
          <cell r="I2450" t="str">
            <v>Correct</v>
          </cell>
          <cell r="J2450">
            <v>1.65</v>
          </cell>
          <cell r="K2450" t="str">
            <v>Low</v>
          </cell>
          <cell r="AB2450">
            <v>1.82</v>
          </cell>
        </row>
        <row r="2451">
          <cell r="B2451" t="str">
            <v>Pavithran M</v>
          </cell>
          <cell r="I2451" t="str">
            <v>Wrong</v>
          </cell>
          <cell r="J2451">
            <v>1.87</v>
          </cell>
          <cell r="K2451" t="str">
            <v>Medium</v>
          </cell>
          <cell r="AB2451">
            <v>0</v>
          </cell>
        </row>
        <row r="2452">
          <cell r="B2452" t="str">
            <v>Pavithran M</v>
          </cell>
          <cell r="I2452" t="str">
            <v>Correct</v>
          </cell>
          <cell r="J2452">
            <v>1.38</v>
          </cell>
          <cell r="K2452" t="str">
            <v>Medium</v>
          </cell>
          <cell r="AB2452">
            <v>2</v>
          </cell>
        </row>
        <row r="2453">
          <cell r="B2453" t="str">
            <v>Pavithran M</v>
          </cell>
          <cell r="I2453" t="str">
            <v>Correct</v>
          </cell>
          <cell r="J2453">
            <v>2.2000000000000002</v>
          </cell>
          <cell r="K2453" t="str">
            <v>Medium</v>
          </cell>
          <cell r="AB2453">
            <v>1.64</v>
          </cell>
        </row>
        <row r="2454">
          <cell r="B2454" t="str">
            <v>Pavithran M</v>
          </cell>
          <cell r="I2454" t="str">
            <v>Correct</v>
          </cell>
          <cell r="J2454">
            <v>1.92</v>
          </cell>
          <cell r="K2454" t="str">
            <v>Medium</v>
          </cell>
          <cell r="AB2454">
            <v>1.88</v>
          </cell>
        </row>
        <row r="2455">
          <cell r="B2455" t="str">
            <v>Pavithran M</v>
          </cell>
          <cell r="I2455" t="str">
            <v>Wrong</v>
          </cell>
          <cell r="J2455">
            <v>1.7</v>
          </cell>
          <cell r="K2455" t="str">
            <v>Medium</v>
          </cell>
          <cell r="AB2455">
            <v>0</v>
          </cell>
        </row>
        <row r="2456">
          <cell r="B2456" t="str">
            <v>Pavithran M</v>
          </cell>
          <cell r="I2456" t="str">
            <v>Correct</v>
          </cell>
          <cell r="J2456">
            <v>1.39</v>
          </cell>
          <cell r="K2456" t="str">
            <v>Medium</v>
          </cell>
          <cell r="AB2456">
            <v>2</v>
          </cell>
        </row>
        <row r="2457">
          <cell r="B2457" t="str">
            <v>Pavithran M</v>
          </cell>
          <cell r="I2457" t="str">
            <v>Wrong</v>
          </cell>
          <cell r="J2457">
            <v>1.73</v>
          </cell>
          <cell r="K2457" t="str">
            <v>High</v>
          </cell>
          <cell r="AB2457">
            <v>0</v>
          </cell>
        </row>
        <row r="2458">
          <cell r="B2458" t="str">
            <v>Pavithran M</v>
          </cell>
          <cell r="I2458" t="str">
            <v>Correct</v>
          </cell>
          <cell r="J2458">
            <v>1.95</v>
          </cell>
          <cell r="K2458" t="str">
            <v>High</v>
          </cell>
          <cell r="AB2458">
            <v>3</v>
          </cell>
        </row>
        <row r="2459">
          <cell r="B2459" t="str">
            <v>Pavithran M</v>
          </cell>
          <cell r="I2459" t="str">
            <v>Correct</v>
          </cell>
          <cell r="J2459">
            <v>1.32</v>
          </cell>
          <cell r="K2459" t="str">
            <v>High</v>
          </cell>
          <cell r="AB2459">
            <v>3</v>
          </cell>
        </row>
        <row r="2460">
          <cell r="B2460" t="str">
            <v>Pavithran M</v>
          </cell>
          <cell r="I2460" t="str">
            <v>Wrong</v>
          </cell>
          <cell r="J2460">
            <v>2.5</v>
          </cell>
          <cell r="K2460" t="str">
            <v>High</v>
          </cell>
          <cell r="AB2460">
            <v>0</v>
          </cell>
        </row>
        <row r="2461">
          <cell r="B2461" t="str">
            <v>Pavithran M</v>
          </cell>
          <cell r="I2461" t="str">
            <v>Wrong</v>
          </cell>
          <cell r="J2461">
            <v>1.3</v>
          </cell>
          <cell r="K2461" t="str">
            <v>High</v>
          </cell>
          <cell r="AB2461">
            <v>0</v>
          </cell>
        </row>
        <row r="2462">
          <cell r="B2462" t="str">
            <v>Ranjith Kumar</v>
          </cell>
          <cell r="I2462" t="str">
            <v>Correct</v>
          </cell>
          <cell r="J2462">
            <v>1.36</v>
          </cell>
          <cell r="K2462" t="str">
            <v>Low</v>
          </cell>
          <cell r="AB2462">
            <v>2</v>
          </cell>
        </row>
        <row r="2463">
          <cell r="B2463" t="str">
            <v>Ranjith Kumar</v>
          </cell>
          <cell r="I2463" t="str">
            <v>Correct</v>
          </cell>
          <cell r="J2463">
            <v>1.94</v>
          </cell>
          <cell r="K2463" t="str">
            <v>Low</v>
          </cell>
          <cell r="AB2463">
            <v>0.77</v>
          </cell>
        </row>
        <row r="2464">
          <cell r="B2464" t="str">
            <v>Ranjith Kumar</v>
          </cell>
          <cell r="I2464" t="str">
            <v>Correct</v>
          </cell>
          <cell r="J2464">
            <v>1.03</v>
          </cell>
          <cell r="K2464" t="str">
            <v>Low</v>
          </cell>
          <cell r="AB2464">
            <v>2</v>
          </cell>
        </row>
        <row r="2465">
          <cell r="B2465" t="str">
            <v>Ranjith Kumar</v>
          </cell>
          <cell r="I2465" t="str">
            <v>Correct</v>
          </cell>
          <cell r="J2465">
            <v>1.49</v>
          </cell>
          <cell r="K2465" t="str">
            <v>Low</v>
          </cell>
          <cell r="AB2465">
            <v>1</v>
          </cell>
        </row>
        <row r="2466">
          <cell r="B2466" t="str">
            <v>Ranjith Kumar</v>
          </cell>
          <cell r="I2466" t="str">
            <v>Correct</v>
          </cell>
          <cell r="J2466">
            <v>1.8</v>
          </cell>
          <cell r="K2466" t="str">
            <v>Low</v>
          </cell>
          <cell r="AB2466">
            <v>0.83</v>
          </cell>
        </row>
        <row r="2467">
          <cell r="B2467" t="str">
            <v>Ranjith Kumar</v>
          </cell>
          <cell r="I2467" t="str">
            <v>Correct</v>
          </cell>
          <cell r="J2467">
            <v>1.76</v>
          </cell>
          <cell r="K2467" t="str">
            <v>Low</v>
          </cell>
          <cell r="AB2467">
            <v>1.7</v>
          </cell>
        </row>
        <row r="2468">
          <cell r="B2468" t="str">
            <v>Ranjith Kumar</v>
          </cell>
          <cell r="I2468" t="str">
            <v>Correct</v>
          </cell>
          <cell r="J2468">
            <v>0.97</v>
          </cell>
          <cell r="K2468" t="str">
            <v>Low</v>
          </cell>
          <cell r="AB2468">
            <v>1</v>
          </cell>
        </row>
        <row r="2469">
          <cell r="B2469" t="str">
            <v>Ranjith Kumar</v>
          </cell>
          <cell r="I2469" t="str">
            <v>Wrong</v>
          </cell>
          <cell r="J2469">
            <v>1.49</v>
          </cell>
          <cell r="K2469" t="str">
            <v>Low</v>
          </cell>
          <cell r="AB2469">
            <v>0</v>
          </cell>
        </row>
        <row r="2470">
          <cell r="B2470" t="str">
            <v>Ranjith Kumar</v>
          </cell>
          <cell r="I2470" t="str">
            <v>Correct</v>
          </cell>
          <cell r="J2470">
            <v>1.8</v>
          </cell>
          <cell r="K2470" t="str">
            <v>Low</v>
          </cell>
          <cell r="AB2470">
            <v>1.67</v>
          </cell>
        </row>
        <row r="2471">
          <cell r="B2471" t="str">
            <v>Ranjith Kumar</v>
          </cell>
          <cell r="I2471" t="str">
            <v>Wrong</v>
          </cell>
          <cell r="J2471">
            <v>1.71</v>
          </cell>
          <cell r="K2471" t="str">
            <v>Medium</v>
          </cell>
          <cell r="AB2471">
            <v>0</v>
          </cell>
        </row>
        <row r="2472">
          <cell r="B2472" t="str">
            <v>Ranjith Kumar</v>
          </cell>
          <cell r="I2472" t="str">
            <v>Wrong</v>
          </cell>
          <cell r="J2472">
            <v>1.1100000000000001</v>
          </cell>
          <cell r="K2472" t="str">
            <v>Medium</v>
          </cell>
          <cell r="AB2472">
            <v>0</v>
          </cell>
        </row>
        <row r="2473">
          <cell r="B2473" t="str">
            <v>Ranjith Kumar</v>
          </cell>
          <cell r="I2473" t="str">
            <v>Correct</v>
          </cell>
          <cell r="J2473">
            <v>1.1499999999999999</v>
          </cell>
          <cell r="K2473" t="str">
            <v>Medium</v>
          </cell>
          <cell r="AB2473">
            <v>2</v>
          </cell>
        </row>
        <row r="2474">
          <cell r="B2474" t="str">
            <v>Ranjith Kumar</v>
          </cell>
          <cell r="I2474" t="str">
            <v>Correct</v>
          </cell>
          <cell r="J2474">
            <v>1.52</v>
          </cell>
          <cell r="K2474" t="str">
            <v>Medium</v>
          </cell>
          <cell r="AB2474">
            <v>2</v>
          </cell>
        </row>
        <row r="2475">
          <cell r="B2475" t="str">
            <v>Ranjith Kumar</v>
          </cell>
          <cell r="I2475" t="str">
            <v>Wrong</v>
          </cell>
          <cell r="J2475">
            <v>1.36</v>
          </cell>
          <cell r="K2475" t="str">
            <v>Medium</v>
          </cell>
          <cell r="AB2475">
            <v>0</v>
          </cell>
        </row>
        <row r="2476">
          <cell r="B2476" t="str">
            <v>Ranjith Kumar</v>
          </cell>
          <cell r="I2476" t="str">
            <v>Wrong</v>
          </cell>
          <cell r="J2476">
            <v>2.0699999999999998</v>
          </cell>
          <cell r="K2476" t="str">
            <v>Medium</v>
          </cell>
          <cell r="AB2476">
            <v>0</v>
          </cell>
        </row>
        <row r="2477">
          <cell r="B2477" t="str">
            <v>Ranjith Kumar</v>
          </cell>
          <cell r="I2477" t="str">
            <v>Wrong</v>
          </cell>
          <cell r="J2477">
            <v>1.99</v>
          </cell>
          <cell r="K2477" t="str">
            <v>High</v>
          </cell>
          <cell r="AB2477">
            <v>0</v>
          </cell>
        </row>
        <row r="2478">
          <cell r="B2478" t="str">
            <v>Ranjith Kumar</v>
          </cell>
          <cell r="I2478" t="str">
            <v>Wrong</v>
          </cell>
          <cell r="J2478">
            <v>1.28</v>
          </cell>
          <cell r="K2478" t="str">
            <v>High</v>
          </cell>
          <cell r="AB2478">
            <v>0</v>
          </cell>
        </row>
        <row r="2479">
          <cell r="B2479" t="str">
            <v>Ranjith Kumar</v>
          </cell>
          <cell r="I2479" t="str">
            <v>Wrong</v>
          </cell>
          <cell r="J2479">
            <v>1.79</v>
          </cell>
          <cell r="K2479" t="str">
            <v>High</v>
          </cell>
          <cell r="AB2479">
            <v>0</v>
          </cell>
        </row>
        <row r="2480">
          <cell r="B2480" t="str">
            <v>Ranjith Kumar</v>
          </cell>
          <cell r="I2480" t="str">
            <v>Correct</v>
          </cell>
          <cell r="J2480">
            <v>1.61</v>
          </cell>
          <cell r="K2480" t="str">
            <v>High</v>
          </cell>
          <cell r="AB2480">
            <v>3</v>
          </cell>
        </row>
        <row r="2481">
          <cell r="B2481" t="str">
            <v>Ranjith Kumar</v>
          </cell>
          <cell r="I2481" t="str">
            <v>Correct</v>
          </cell>
          <cell r="J2481">
            <v>1.89</v>
          </cell>
          <cell r="K2481" t="str">
            <v>High</v>
          </cell>
          <cell r="AB2481">
            <v>3</v>
          </cell>
        </row>
        <row r="2482">
          <cell r="B2482" t="str">
            <v>Sowmiya R</v>
          </cell>
          <cell r="I2482" t="str">
            <v>Wrong</v>
          </cell>
          <cell r="J2482">
            <v>1.24</v>
          </cell>
          <cell r="K2482" t="str">
            <v>Low</v>
          </cell>
          <cell r="AB2482">
            <v>0</v>
          </cell>
        </row>
        <row r="2483">
          <cell r="B2483" t="str">
            <v>Sowmiya R</v>
          </cell>
          <cell r="I2483" t="str">
            <v>Correct</v>
          </cell>
          <cell r="J2483">
            <v>1.84</v>
          </cell>
          <cell r="K2483" t="str">
            <v>Low</v>
          </cell>
          <cell r="AB2483">
            <v>0.82</v>
          </cell>
        </row>
        <row r="2484">
          <cell r="B2484" t="str">
            <v>Sowmiya R</v>
          </cell>
          <cell r="I2484" t="str">
            <v>Correct</v>
          </cell>
          <cell r="J2484">
            <v>1.59</v>
          </cell>
          <cell r="K2484" t="str">
            <v>Low</v>
          </cell>
          <cell r="AB2484">
            <v>1.89</v>
          </cell>
        </row>
        <row r="2485">
          <cell r="B2485" t="str">
            <v>Sowmiya R</v>
          </cell>
          <cell r="I2485" t="str">
            <v>Correct</v>
          </cell>
          <cell r="J2485">
            <v>1.36</v>
          </cell>
          <cell r="K2485" t="str">
            <v>Low</v>
          </cell>
          <cell r="AB2485">
            <v>1</v>
          </cell>
        </row>
        <row r="2486">
          <cell r="B2486" t="str">
            <v>Sowmiya R</v>
          </cell>
          <cell r="I2486" t="str">
            <v>Correct</v>
          </cell>
          <cell r="J2486">
            <v>0.99</v>
          </cell>
          <cell r="K2486" t="str">
            <v>Low</v>
          </cell>
          <cell r="AB2486">
            <v>1</v>
          </cell>
        </row>
        <row r="2487">
          <cell r="B2487" t="str">
            <v>Sowmiya R</v>
          </cell>
          <cell r="I2487" t="str">
            <v>Wrong</v>
          </cell>
          <cell r="J2487">
            <v>1.86</v>
          </cell>
          <cell r="K2487" t="str">
            <v>Low</v>
          </cell>
          <cell r="AB2487">
            <v>0</v>
          </cell>
        </row>
        <row r="2488">
          <cell r="B2488" t="str">
            <v>Sowmiya R</v>
          </cell>
          <cell r="I2488" t="str">
            <v>Correct</v>
          </cell>
          <cell r="J2488">
            <v>1.57</v>
          </cell>
          <cell r="K2488" t="str">
            <v>Low</v>
          </cell>
          <cell r="AB2488">
            <v>0.96</v>
          </cell>
        </row>
        <row r="2489">
          <cell r="B2489" t="str">
            <v>Sowmiya R</v>
          </cell>
          <cell r="I2489" t="str">
            <v>Correct</v>
          </cell>
          <cell r="J2489">
            <v>1.27</v>
          </cell>
          <cell r="K2489" t="str">
            <v>Low</v>
          </cell>
          <cell r="AB2489">
            <v>2</v>
          </cell>
        </row>
        <row r="2490">
          <cell r="B2490" t="str">
            <v>Sowmiya R</v>
          </cell>
          <cell r="I2490" t="str">
            <v>Correct</v>
          </cell>
          <cell r="J2490">
            <v>1.93</v>
          </cell>
          <cell r="K2490" t="str">
            <v>Low</v>
          </cell>
          <cell r="AB2490">
            <v>1.55</v>
          </cell>
        </row>
        <row r="2491">
          <cell r="B2491" t="str">
            <v>Sowmiya R</v>
          </cell>
          <cell r="I2491" t="str">
            <v>Correct</v>
          </cell>
          <cell r="J2491">
            <v>1.33</v>
          </cell>
          <cell r="K2491" t="str">
            <v>Medium</v>
          </cell>
          <cell r="AB2491">
            <v>2</v>
          </cell>
        </row>
        <row r="2492">
          <cell r="B2492" t="str">
            <v>Sowmiya R</v>
          </cell>
          <cell r="I2492" t="str">
            <v>Wrong</v>
          </cell>
          <cell r="J2492">
            <v>2.08</v>
          </cell>
          <cell r="K2492" t="str">
            <v>Medium</v>
          </cell>
          <cell r="AB2492">
            <v>0</v>
          </cell>
        </row>
        <row r="2493">
          <cell r="B2493" t="str">
            <v>Sowmiya R</v>
          </cell>
          <cell r="I2493" t="str">
            <v>Wrong</v>
          </cell>
          <cell r="J2493">
            <v>2.12</v>
          </cell>
          <cell r="K2493" t="str">
            <v>Medium</v>
          </cell>
          <cell r="AB2493">
            <v>0</v>
          </cell>
        </row>
        <row r="2494">
          <cell r="B2494" t="str">
            <v>Sowmiya R</v>
          </cell>
          <cell r="I2494" t="str">
            <v>Correct</v>
          </cell>
          <cell r="J2494">
            <v>1.9</v>
          </cell>
          <cell r="K2494" t="str">
            <v>Medium</v>
          </cell>
          <cell r="AB2494">
            <v>1.89</v>
          </cell>
        </row>
        <row r="2495">
          <cell r="B2495" t="str">
            <v>Sowmiya R</v>
          </cell>
          <cell r="I2495" t="str">
            <v>Correct</v>
          </cell>
          <cell r="J2495">
            <v>1.33</v>
          </cell>
          <cell r="K2495" t="str">
            <v>Medium</v>
          </cell>
          <cell r="AB2495">
            <v>2</v>
          </cell>
        </row>
        <row r="2496">
          <cell r="B2496" t="str">
            <v>Sowmiya R</v>
          </cell>
          <cell r="I2496" t="str">
            <v>Correct</v>
          </cell>
          <cell r="J2496">
            <v>1.1000000000000001</v>
          </cell>
          <cell r="K2496" t="str">
            <v>Medium</v>
          </cell>
          <cell r="AB2496">
            <v>2</v>
          </cell>
        </row>
        <row r="2497">
          <cell r="B2497" t="str">
            <v>Sowmiya R</v>
          </cell>
          <cell r="I2497" t="str">
            <v>Correct</v>
          </cell>
          <cell r="J2497">
            <v>1.7</v>
          </cell>
          <cell r="K2497" t="str">
            <v>High</v>
          </cell>
          <cell r="AB2497">
            <v>3</v>
          </cell>
        </row>
        <row r="2498">
          <cell r="B2498" t="str">
            <v>Sowmiya R</v>
          </cell>
          <cell r="I2498" t="str">
            <v>Wrong</v>
          </cell>
          <cell r="J2498">
            <v>1.65</v>
          </cell>
          <cell r="K2498" t="str">
            <v>High</v>
          </cell>
          <cell r="AB2498">
            <v>0</v>
          </cell>
        </row>
        <row r="2499">
          <cell r="B2499" t="str">
            <v>Sowmiya R</v>
          </cell>
          <cell r="I2499" t="str">
            <v>Wrong</v>
          </cell>
          <cell r="J2499">
            <v>1.41</v>
          </cell>
          <cell r="K2499" t="str">
            <v>High</v>
          </cell>
          <cell r="AB2499">
            <v>0</v>
          </cell>
        </row>
        <row r="2500">
          <cell r="B2500" t="str">
            <v>Sowmiya R</v>
          </cell>
          <cell r="I2500" t="str">
            <v>Correct</v>
          </cell>
          <cell r="J2500">
            <v>1.2</v>
          </cell>
          <cell r="K2500" t="str">
            <v>High</v>
          </cell>
          <cell r="AB2500">
            <v>3</v>
          </cell>
        </row>
        <row r="2501">
          <cell r="B2501" t="str">
            <v>Sowmiya R</v>
          </cell>
          <cell r="I2501" t="str">
            <v>Correct</v>
          </cell>
          <cell r="J2501">
            <v>2.4900000000000002</v>
          </cell>
          <cell r="K2501" t="str">
            <v>High</v>
          </cell>
          <cell r="AB2501">
            <v>2.41</v>
          </cell>
        </row>
        <row r="2502">
          <cell r="B2502" t="str">
            <v>Tharshini M</v>
          </cell>
          <cell r="I2502" t="str">
            <v>Correct</v>
          </cell>
          <cell r="J2502">
            <v>1.44</v>
          </cell>
          <cell r="K2502" t="str">
            <v>Low</v>
          </cell>
          <cell r="AB2502">
            <v>2</v>
          </cell>
        </row>
        <row r="2503">
          <cell r="B2503" t="str">
            <v>Tharshini M</v>
          </cell>
          <cell r="I2503" t="str">
            <v>Correct</v>
          </cell>
          <cell r="J2503">
            <v>1.73</v>
          </cell>
          <cell r="K2503" t="str">
            <v>Low</v>
          </cell>
          <cell r="AB2503">
            <v>0.87</v>
          </cell>
        </row>
        <row r="2504">
          <cell r="B2504" t="str">
            <v>Tharshini M</v>
          </cell>
          <cell r="I2504" t="str">
            <v>Correct</v>
          </cell>
          <cell r="J2504">
            <v>1.35</v>
          </cell>
          <cell r="K2504" t="str">
            <v>Low</v>
          </cell>
          <cell r="AB2504">
            <v>2</v>
          </cell>
        </row>
        <row r="2505">
          <cell r="B2505" t="str">
            <v>Tharshini M</v>
          </cell>
          <cell r="I2505" t="str">
            <v>Correct</v>
          </cell>
          <cell r="J2505">
            <v>1.19</v>
          </cell>
          <cell r="K2505" t="str">
            <v>Low</v>
          </cell>
          <cell r="AB2505">
            <v>1</v>
          </cell>
        </row>
        <row r="2506">
          <cell r="B2506" t="str">
            <v>Tharshini M</v>
          </cell>
          <cell r="I2506" t="str">
            <v>Wrong</v>
          </cell>
          <cell r="J2506">
            <v>1.99</v>
          </cell>
          <cell r="K2506" t="str">
            <v>Low</v>
          </cell>
          <cell r="AB2506">
            <v>0</v>
          </cell>
        </row>
        <row r="2507">
          <cell r="B2507" t="str">
            <v>Tharshini M</v>
          </cell>
          <cell r="I2507" t="str">
            <v>Wrong</v>
          </cell>
          <cell r="J2507">
            <v>0.93</v>
          </cell>
          <cell r="K2507" t="str">
            <v>Low</v>
          </cell>
          <cell r="AB2507">
            <v>0</v>
          </cell>
        </row>
        <row r="2508">
          <cell r="B2508" t="str">
            <v>Tharshini M</v>
          </cell>
          <cell r="I2508" t="str">
            <v>Correct</v>
          </cell>
          <cell r="J2508">
            <v>1.04</v>
          </cell>
          <cell r="K2508" t="str">
            <v>Low</v>
          </cell>
          <cell r="AB2508">
            <v>1</v>
          </cell>
        </row>
        <row r="2509">
          <cell r="B2509" t="str">
            <v>Tharshini M</v>
          </cell>
          <cell r="I2509" t="str">
            <v>Correct</v>
          </cell>
          <cell r="J2509">
            <v>1.56</v>
          </cell>
          <cell r="K2509" t="str">
            <v>Low</v>
          </cell>
          <cell r="AB2509">
            <v>1.92</v>
          </cell>
        </row>
        <row r="2510">
          <cell r="B2510" t="str">
            <v>Tharshini M</v>
          </cell>
          <cell r="I2510" t="str">
            <v>Correct</v>
          </cell>
          <cell r="J2510">
            <v>0.96</v>
          </cell>
          <cell r="K2510" t="str">
            <v>Low</v>
          </cell>
          <cell r="AB2510">
            <v>2</v>
          </cell>
        </row>
        <row r="2511">
          <cell r="B2511" t="str">
            <v>Tharshini M</v>
          </cell>
          <cell r="I2511" t="str">
            <v>Correct</v>
          </cell>
          <cell r="J2511">
            <v>1.72</v>
          </cell>
          <cell r="K2511" t="str">
            <v>Medium</v>
          </cell>
          <cell r="AB2511">
            <v>2</v>
          </cell>
        </row>
        <row r="2512">
          <cell r="B2512" t="str">
            <v>Tharshini M</v>
          </cell>
          <cell r="I2512" t="str">
            <v>Correct</v>
          </cell>
          <cell r="J2512">
            <v>1.33</v>
          </cell>
          <cell r="K2512" t="str">
            <v>Medium</v>
          </cell>
          <cell r="AB2512">
            <v>2</v>
          </cell>
        </row>
        <row r="2513">
          <cell r="B2513" t="str">
            <v>Tharshini M</v>
          </cell>
          <cell r="I2513" t="str">
            <v>Correct</v>
          </cell>
          <cell r="J2513">
            <v>1.32</v>
          </cell>
          <cell r="K2513" t="str">
            <v>Medium</v>
          </cell>
          <cell r="AB2513">
            <v>2</v>
          </cell>
        </row>
        <row r="2514">
          <cell r="B2514" t="str">
            <v>Tharshini M</v>
          </cell>
          <cell r="I2514" t="str">
            <v>Wrong</v>
          </cell>
          <cell r="J2514">
            <v>1.82</v>
          </cell>
          <cell r="K2514" t="str">
            <v>Medium</v>
          </cell>
          <cell r="AB2514">
            <v>0</v>
          </cell>
        </row>
        <row r="2515">
          <cell r="B2515" t="str">
            <v>Tharshini M</v>
          </cell>
          <cell r="I2515" t="str">
            <v>Correct</v>
          </cell>
          <cell r="J2515">
            <v>1.35</v>
          </cell>
          <cell r="K2515" t="str">
            <v>Medium</v>
          </cell>
          <cell r="AB2515">
            <v>2</v>
          </cell>
        </row>
        <row r="2516">
          <cell r="B2516" t="str">
            <v>Tharshini M</v>
          </cell>
          <cell r="I2516" t="str">
            <v>Correct</v>
          </cell>
          <cell r="J2516">
            <v>1.84</v>
          </cell>
          <cell r="K2516" t="str">
            <v>Medium</v>
          </cell>
          <cell r="AB2516">
            <v>1.96</v>
          </cell>
        </row>
        <row r="2517">
          <cell r="B2517" t="str">
            <v>Tharshini M</v>
          </cell>
          <cell r="I2517" t="str">
            <v>Correct</v>
          </cell>
          <cell r="J2517">
            <v>1.51</v>
          </cell>
          <cell r="K2517" t="str">
            <v>High</v>
          </cell>
          <cell r="AB2517">
            <v>3</v>
          </cell>
        </row>
        <row r="2518">
          <cell r="B2518" t="str">
            <v>Tharshini M</v>
          </cell>
          <cell r="I2518" t="str">
            <v>Wrong</v>
          </cell>
          <cell r="J2518">
            <v>2.56</v>
          </cell>
          <cell r="K2518" t="str">
            <v>High</v>
          </cell>
          <cell r="AB2518">
            <v>0</v>
          </cell>
        </row>
        <row r="2519">
          <cell r="B2519" t="str">
            <v>Tharshini M</v>
          </cell>
          <cell r="I2519" t="str">
            <v>Wrong</v>
          </cell>
          <cell r="J2519">
            <v>2.2000000000000002</v>
          </cell>
          <cell r="K2519" t="str">
            <v>High</v>
          </cell>
          <cell r="AB2519">
            <v>0</v>
          </cell>
        </row>
        <row r="2520">
          <cell r="B2520" t="str">
            <v>Tharshini M</v>
          </cell>
          <cell r="I2520" t="str">
            <v>Wrong</v>
          </cell>
          <cell r="J2520">
            <v>1.44</v>
          </cell>
          <cell r="K2520" t="str">
            <v>High</v>
          </cell>
          <cell r="AB2520">
            <v>0</v>
          </cell>
        </row>
        <row r="2521">
          <cell r="B2521" t="str">
            <v>Tharshini M</v>
          </cell>
          <cell r="I2521" t="str">
            <v>Correct</v>
          </cell>
          <cell r="J2521">
            <v>1.3</v>
          </cell>
          <cell r="K2521" t="str">
            <v>High</v>
          </cell>
          <cell r="AB2521">
            <v>3</v>
          </cell>
        </row>
        <row r="2522">
          <cell r="B2522" t="str">
            <v>Vijayalakshmi S</v>
          </cell>
          <cell r="I2522" t="str">
            <v>Correct</v>
          </cell>
          <cell r="J2522">
            <v>1.1299999999999999</v>
          </cell>
          <cell r="K2522" t="str">
            <v>Low</v>
          </cell>
          <cell r="AB2522">
            <v>2</v>
          </cell>
        </row>
        <row r="2523">
          <cell r="B2523" t="str">
            <v>Vijayalakshmi S</v>
          </cell>
          <cell r="I2523" t="str">
            <v>Correct</v>
          </cell>
          <cell r="J2523">
            <v>1.39</v>
          </cell>
          <cell r="K2523" t="str">
            <v>Low</v>
          </cell>
          <cell r="AB2523">
            <v>1</v>
          </cell>
        </row>
        <row r="2524">
          <cell r="B2524" t="str">
            <v>Vijayalakshmi S</v>
          </cell>
          <cell r="I2524" t="str">
            <v>Correct</v>
          </cell>
          <cell r="J2524">
            <v>1.57</v>
          </cell>
          <cell r="K2524" t="str">
            <v>Low</v>
          </cell>
          <cell r="AB2524">
            <v>1.91</v>
          </cell>
        </row>
        <row r="2525">
          <cell r="B2525" t="str">
            <v>Vijayalakshmi S</v>
          </cell>
          <cell r="I2525" t="str">
            <v>Correct</v>
          </cell>
          <cell r="J2525">
            <v>1.69</v>
          </cell>
          <cell r="K2525" t="str">
            <v>Low</v>
          </cell>
          <cell r="AB2525">
            <v>0.89</v>
          </cell>
        </row>
        <row r="2526">
          <cell r="B2526" t="str">
            <v>Vijayalakshmi S</v>
          </cell>
          <cell r="I2526" t="str">
            <v>Correct</v>
          </cell>
          <cell r="J2526">
            <v>1.6</v>
          </cell>
          <cell r="K2526" t="str">
            <v>Low</v>
          </cell>
          <cell r="AB2526">
            <v>0.94</v>
          </cell>
        </row>
        <row r="2527">
          <cell r="B2527" t="str">
            <v>Vijayalakshmi S</v>
          </cell>
          <cell r="I2527" t="str">
            <v>Correct</v>
          </cell>
          <cell r="J2527">
            <v>1.67</v>
          </cell>
          <cell r="K2527" t="str">
            <v>Low</v>
          </cell>
          <cell r="AB2527">
            <v>1.8</v>
          </cell>
        </row>
        <row r="2528">
          <cell r="B2528" t="str">
            <v>Vijayalakshmi S</v>
          </cell>
          <cell r="I2528" t="str">
            <v>Wrong</v>
          </cell>
          <cell r="J2528">
            <v>1.06</v>
          </cell>
          <cell r="K2528" t="str">
            <v>Low</v>
          </cell>
          <cell r="AB2528">
            <v>0</v>
          </cell>
        </row>
        <row r="2529">
          <cell r="B2529" t="str">
            <v>Vijayalakshmi S</v>
          </cell>
          <cell r="I2529" t="str">
            <v>Correct</v>
          </cell>
          <cell r="J2529">
            <v>1.77</v>
          </cell>
          <cell r="K2529" t="str">
            <v>Low</v>
          </cell>
          <cell r="AB2529">
            <v>1.69</v>
          </cell>
        </row>
        <row r="2530">
          <cell r="B2530" t="str">
            <v>Vijayalakshmi S</v>
          </cell>
          <cell r="I2530" t="str">
            <v>Correct</v>
          </cell>
          <cell r="J2530">
            <v>0.93</v>
          </cell>
          <cell r="K2530" t="str">
            <v>Low</v>
          </cell>
          <cell r="AB2530">
            <v>2</v>
          </cell>
        </row>
        <row r="2531">
          <cell r="B2531" t="str">
            <v>Vijayalakshmi S</v>
          </cell>
          <cell r="I2531" t="str">
            <v>Correct</v>
          </cell>
          <cell r="J2531">
            <v>2.09</v>
          </cell>
          <cell r="K2531" t="str">
            <v>Medium</v>
          </cell>
          <cell r="AB2531">
            <v>1.72</v>
          </cell>
        </row>
        <row r="2532">
          <cell r="B2532" t="str">
            <v>Vijayalakshmi S</v>
          </cell>
          <cell r="I2532" t="str">
            <v>Wrong</v>
          </cell>
          <cell r="J2532">
            <v>2.12</v>
          </cell>
          <cell r="K2532" t="str">
            <v>Medium</v>
          </cell>
          <cell r="AB2532">
            <v>0</v>
          </cell>
        </row>
        <row r="2533">
          <cell r="B2533" t="str">
            <v>Vijayalakshmi S</v>
          </cell>
          <cell r="I2533" t="str">
            <v>Correct</v>
          </cell>
          <cell r="J2533">
            <v>1.86</v>
          </cell>
          <cell r="K2533" t="str">
            <v>Medium</v>
          </cell>
          <cell r="AB2533">
            <v>1.94</v>
          </cell>
        </row>
        <row r="2534">
          <cell r="B2534" t="str">
            <v>Vijayalakshmi S</v>
          </cell>
          <cell r="I2534" t="str">
            <v>Correct</v>
          </cell>
          <cell r="J2534">
            <v>1.86</v>
          </cell>
          <cell r="K2534" t="str">
            <v>Medium</v>
          </cell>
          <cell r="AB2534">
            <v>1.94</v>
          </cell>
        </row>
        <row r="2535">
          <cell r="B2535" t="str">
            <v>Vijayalakshmi S</v>
          </cell>
          <cell r="I2535" t="str">
            <v>Correct</v>
          </cell>
          <cell r="J2535">
            <v>1.45</v>
          </cell>
          <cell r="K2535" t="str">
            <v>Medium</v>
          </cell>
          <cell r="AB2535">
            <v>2</v>
          </cell>
        </row>
        <row r="2536">
          <cell r="B2536" t="str">
            <v>Vijayalakshmi S</v>
          </cell>
          <cell r="I2536" t="str">
            <v>Correct</v>
          </cell>
          <cell r="J2536">
            <v>1.1399999999999999</v>
          </cell>
          <cell r="K2536" t="str">
            <v>Medium</v>
          </cell>
          <cell r="AB2536">
            <v>2</v>
          </cell>
        </row>
        <row r="2537">
          <cell r="B2537" t="str">
            <v>Vijayalakshmi S</v>
          </cell>
          <cell r="I2537" t="str">
            <v>Correct</v>
          </cell>
          <cell r="J2537">
            <v>1.35</v>
          </cell>
          <cell r="K2537" t="str">
            <v>High</v>
          </cell>
          <cell r="AB2537">
            <v>3</v>
          </cell>
        </row>
        <row r="2538">
          <cell r="B2538" t="str">
            <v>Vijayalakshmi S</v>
          </cell>
          <cell r="I2538" t="str">
            <v>Wrong</v>
          </cell>
          <cell r="J2538">
            <v>1.4</v>
          </cell>
          <cell r="K2538" t="str">
            <v>High</v>
          </cell>
          <cell r="AB2538">
            <v>0</v>
          </cell>
        </row>
        <row r="2539">
          <cell r="B2539" t="str">
            <v>Vijayalakshmi S</v>
          </cell>
          <cell r="I2539" t="str">
            <v>Correct</v>
          </cell>
          <cell r="J2539">
            <v>1.34</v>
          </cell>
          <cell r="K2539" t="str">
            <v>High</v>
          </cell>
          <cell r="AB2539">
            <v>3</v>
          </cell>
        </row>
        <row r="2540">
          <cell r="B2540" t="str">
            <v>Vijayalakshmi S</v>
          </cell>
          <cell r="I2540" t="str">
            <v>Wrong</v>
          </cell>
          <cell r="J2540">
            <v>1.92</v>
          </cell>
          <cell r="K2540" t="str">
            <v>High</v>
          </cell>
          <cell r="AB2540">
            <v>0</v>
          </cell>
        </row>
        <row r="2541">
          <cell r="B2541" t="str">
            <v>Vijayalakshmi S</v>
          </cell>
          <cell r="I2541" t="str">
            <v>Correct</v>
          </cell>
          <cell r="J2541">
            <v>1.24</v>
          </cell>
          <cell r="K2541" t="str">
            <v>High</v>
          </cell>
          <cell r="AB2541">
            <v>3</v>
          </cell>
        </row>
        <row r="2542">
          <cell r="B2542" t="str">
            <v>Yuvan Raj</v>
          </cell>
          <cell r="I2542" t="str">
            <v>Correct</v>
          </cell>
          <cell r="J2542">
            <v>1.59</v>
          </cell>
          <cell r="K2542" t="str">
            <v>Low</v>
          </cell>
          <cell r="AB2542">
            <v>1.89</v>
          </cell>
        </row>
        <row r="2543">
          <cell r="B2543" t="str">
            <v>Yuvan Raj</v>
          </cell>
          <cell r="I2543" t="str">
            <v>Correct</v>
          </cell>
          <cell r="J2543">
            <v>1.93</v>
          </cell>
          <cell r="K2543" t="str">
            <v>Low</v>
          </cell>
          <cell r="AB2543">
            <v>0.78</v>
          </cell>
        </row>
        <row r="2544">
          <cell r="B2544" t="str">
            <v>Yuvan Raj</v>
          </cell>
          <cell r="I2544" t="str">
            <v>Correct</v>
          </cell>
          <cell r="J2544">
            <v>1.2</v>
          </cell>
          <cell r="K2544" t="str">
            <v>Low</v>
          </cell>
          <cell r="AB2544">
            <v>2</v>
          </cell>
        </row>
        <row r="2545">
          <cell r="B2545" t="str">
            <v>Yuvan Raj</v>
          </cell>
          <cell r="I2545" t="str">
            <v>Correct</v>
          </cell>
          <cell r="J2545">
            <v>0.97</v>
          </cell>
          <cell r="K2545" t="str">
            <v>Low</v>
          </cell>
          <cell r="AB2545">
            <v>1</v>
          </cell>
        </row>
        <row r="2546">
          <cell r="B2546" t="str">
            <v>Yuvan Raj</v>
          </cell>
          <cell r="I2546" t="str">
            <v>Correct</v>
          </cell>
          <cell r="J2546">
            <v>1.52</v>
          </cell>
          <cell r="K2546" t="str">
            <v>Low</v>
          </cell>
          <cell r="AB2546">
            <v>0.99</v>
          </cell>
        </row>
        <row r="2547">
          <cell r="B2547" t="str">
            <v>Yuvan Raj</v>
          </cell>
          <cell r="I2547" t="str">
            <v>Correct</v>
          </cell>
          <cell r="J2547">
            <v>1.94</v>
          </cell>
          <cell r="K2547" t="str">
            <v>Low</v>
          </cell>
          <cell r="AB2547">
            <v>1.55</v>
          </cell>
        </row>
        <row r="2548">
          <cell r="B2548" t="str">
            <v>Yuvan Raj</v>
          </cell>
          <cell r="I2548" t="str">
            <v>Correct</v>
          </cell>
          <cell r="J2548">
            <v>1.8</v>
          </cell>
          <cell r="K2548" t="str">
            <v>Low</v>
          </cell>
          <cell r="AB2548">
            <v>0.83</v>
          </cell>
        </row>
        <row r="2549">
          <cell r="B2549" t="str">
            <v>Yuvan Raj</v>
          </cell>
          <cell r="I2549" t="str">
            <v>Correct</v>
          </cell>
          <cell r="J2549">
            <v>1.64</v>
          </cell>
          <cell r="K2549" t="str">
            <v>Low</v>
          </cell>
          <cell r="AB2549">
            <v>1.83</v>
          </cell>
        </row>
        <row r="2550">
          <cell r="B2550" t="str">
            <v>Yuvan Raj</v>
          </cell>
          <cell r="I2550" t="str">
            <v>Wrong</v>
          </cell>
          <cell r="J2550">
            <v>1.33</v>
          </cell>
          <cell r="K2550" t="str">
            <v>Low</v>
          </cell>
          <cell r="AB2550">
            <v>0</v>
          </cell>
        </row>
        <row r="2551">
          <cell r="B2551" t="str">
            <v>Yuvan Raj</v>
          </cell>
          <cell r="I2551" t="str">
            <v>Wrong</v>
          </cell>
          <cell r="J2551">
            <v>1.57</v>
          </cell>
          <cell r="K2551" t="str">
            <v>Medium</v>
          </cell>
          <cell r="AB2551">
            <v>0</v>
          </cell>
        </row>
        <row r="2552">
          <cell r="B2552" t="str">
            <v>Yuvan Raj</v>
          </cell>
          <cell r="I2552" t="str">
            <v>Correct</v>
          </cell>
          <cell r="J2552">
            <v>1.28</v>
          </cell>
          <cell r="K2552" t="str">
            <v>Medium</v>
          </cell>
          <cell r="AB2552">
            <v>2</v>
          </cell>
        </row>
        <row r="2553">
          <cell r="B2553" t="str">
            <v>Yuvan Raj</v>
          </cell>
          <cell r="I2553" t="str">
            <v>Wrong</v>
          </cell>
          <cell r="J2553">
            <v>1.93</v>
          </cell>
          <cell r="K2553" t="str">
            <v>Medium</v>
          </cell>
          <cell r="AB2553">
            <v>0</v>
          </cell>
        </row>
        <row r="2554">
          <cell r="B2554" t="str">
            <v>Yuvan Raj</v>
          </cell>
          <cell r="I2554" t="str">
            <v>Correct</v>
          </cell>
          <cell r="J2554">
            <v>1.27</v>
          </cell>
          <cell r="K2554" t="str">
            <v>Medium</v>
          </cell>
          <cell r="AB2554">
            <v>2</v>
          </cell>
        </row>
        <row r="2555">
          <cell r="B2555" t="str">
            <v>Yuvan Raj</v>
          </cell>
          <cell r="I2555" t="str">
            <v>Wrong</v>
          </cell>
          <cell r="J2555">
            <v>1.54</v>
          </cell>
          <cell r="K2555" t="str">
            <v>Medium</v>
          </cell>
          <cell r="AB2555">
            <v>0</v>
          </cell>
        </row>
        <row r="2556">
          <cell r="B2556" t="str">
            <v>Yuvan Raj</v>
          </cell>
          <cell r="I2556" t="str">
            <v>Correct</v>
          </cell>
          <cell r="J2556">
            <v>2.19</v>
          </cell>
          <cell r="K2556" t="str">
            <v>Medium</v>
          </cell>
          <cell r="AB2556">
            <v>1.64</v>
          </cell>
        </row>
        <row r="2557">
          <cell r="B2557" t="str">
            <v>Yuvan Raj</v>
          </cell>
          <cell r="I2557" t="str">
            <v>Wrong</v>
          </cell>
          <cell r="J2557">
            <v>2.39</v>
          </cell>
          <cell r="K2557" t="str">
            <v>High</v>
          </cell>
          <cell r="AB2557">
            <v>0</v>
          </cell>
        </row>
        <row r="2558">
          <cell r="B2558" t="str">
            <v>Yuvan Raj</v>
          </cell>
          <cell r="I2558" t="str">
            <v>Wrong</v>
          </cell>
          <cell r="J2558">
            <v>2.48</v>
          </cell>
          <cell r="K2558" t="str">
            <v>High</v>
          </cell>
          <cell r="AB2558">
            <v>0</v>
          </cell>
        </row>
        <row r="2559">
          <cell r="B2559" t="str">
            <v>Yuvan Raj</v>
          </cell>
          <cell r="I2559" t="str">
            <v>Wrong</v>
          </cell>
          <cell r="J2559">
            <v>2.0299999999999998</v>
          </cell>
          <cell r="K2559" t="str">
            <v>High</v>
          </cell>
          <cell r="AB2559">
            <v>0</v>
          </cell>
        </row>
        <row r="2560">
          <cell r="B2560" t="str">
            <v>Yuvan Raj</v>
          </cell>
          <cell r="I2560" t="str">
            <v>Correct</v>
          </cell>
          <cell r="J2560">
            <v>2.09</v>
          </cell>
          <cell r="K2560" t="str">
            <v>High</v>
          </cell>
          <cell r="AB2560">
            <v>2.87</v>
          </cell>
        </row>
        <row r="2561">
          <cell r="B2561" t="str">
            <v>Yuvan Raj</v>
          </cell>
          <cell r="I2561" t="str">
            <v>Wrong</v>
          </cell>
          <cell r="J2561">
            <v>2.11</v>
          </cell>
          <cell r="K2561" t="str">
            <v>High</v>
          </cell>
          <cell r="AB2561">
            <v>0</v>
          </cell>
        </row>
        <row r="2562">
          <cell r="B2562" t="str">
            <v>Abirami K</v>
          </cell>
          <cell r="I2562" t="str">
            <v>Correct</v>
          </cell>
          <cell r="J2562">
            <v>1.23</v>
          </cell>
          <cell r="K2562" t="str">
            <v>Low</v>
          </cell>
          <cell r="AB2562">
            <v>2</v>
          </cell>
        </row>
        <row r="2563">
          <cell r="B2563" t="str">
            <v>Abirami K</v>
          </cell>
          <cell r="I2563" t="str">
            <v>Correct</v>
          </cell>
          <cell r="J2563">
            <v>1.52</v>
          </cell>
          <cell r="K2563" t="str">
            <v>Low</v>
          </cell>
          <cell r="AB2563">
            <v>0.99</v>
          </cell>
        </row>
        <row r="2564">
          <cell r="B2564" t="str">
            <v>Abirami K</v>
          </cell>
          <cell r="I2564" t="str">
            <v>Correct</v>
          </cell>
          <cell r="J2564">
            <v>1.83</v>
          </cell>
          <cell r="K2564" t="str">
            <v>Low</v>
          </cell>
          <cell r="AB2564">
            <v>1.64</v>
          </cell>
        </row>
        <row r="2565">
          <cell r="B2565" t="str">
            <v>Abirami K</v>
          </cell>
          <cell r="I2565" t="str">
            <v>Correct</v>
          </cell>
          <cell r="J2565">
            <v>1.78</v>
          </cell>
          <cell r="K2565" t="str">
            <v>Low</v>
          </cell>
          <cell r="AB2565">
            <v>0.84</v>
          </cell>
        </row>
        <row r="2566">
          <cell r="B2566" t="str">
            <v>Abirami K</v>
          </cell>
          <cell r="I2566" t="str">
            <v>Wrong</v>
          </cell>
          <cell r="J2566">
            <v>1.97</v>
          </cell>
          <cell r="K2566" t="str">
            <v>Low</v>
          </cell>
          <cell r="AB2566">
            <v>0</v>
          </cell>
        </row>
        <row r="2567">
          <cell r="B2567" t="str">
            <v>Abirami K</v>
          </cell>
          <cell r="I2567" t="str">
            <v>Correct</v>
          </cell>
          <cell r="J2567">
            <v>1.41</v>
          </cell>
          <cell r="K2567" t="str">
            <v>Low</v>
          </cell>
          <cell r="AB2567">
            <v>2</v>
          </cell>
        </row>
        <row r="2568">
          <cell r="B2568" t="str">
            <v>Abirami K</v>
          </cell>
          <cell r="I2568" t="str">
            <v>Correct</v>
          </cell>
          <cell r="J2568">
            <v>1.29</v>
          </cell>
          <cell r="K2568" t="str">
            <v>Low</v>
          </cell>
          <cell r="AB2568">
            <v>1</v>
          </cell>
        </row>
        <row r="2569">
          <cell r="B2569" t="str">
            <v>Abirami K</v>
          </cell>
          <cell r="I2569" t="str">
            <v>Correct</v>
          </cell>
          <cell r="J2569">
            <v>1.79</v>
          </cell>
          <cell r="K2569" t="str">
            <v>Low</v>
          </cell>
          <cell r="AB2569">
            <v>1.68</v>
          </cell>
        </row>
        <row r="2570">
          <cell r="B2570" t="str">
            <v>Abirami K</v>
          </cell>
          <cell r="I2570" t="str">
            <v>Correct</v>
          </cell>
          <cell r="J2570">
            <v>1.05</v>
          </cell>
          <cell r="K2570" t="str">
            <v>Low</v>
          </cell>
          <cell r="AB2570">
            <v>2</v>
          </cell>
        </row>
        <row r="2571">
          <cell r="B2571" t="str">
            <v>Abirami K</v>
          </cell>
          <cell r="I2571" t="str">
            <v>Correct</v>
          </cell>
          <cell r="J2571">
            <v>1.56</v>
          </cell>
          <cell r="K2571" t="str">
            <v>Medium</v>
          </cell>
          <cell r="AB2571">
            <v>2</v>
          </cell>
        </row>
        <row r="2572">
          <cell r="B2572" t="str">
            <v>Abirami K</v>
          </cell>
          <cell r="I2572" t="str">
            <v>Correct</v>
          </cell>
          <cell r="J2572">
            <v>2.19</v>
          </cell>
          <cell r="K2572" t="str">
            <v>Medium</v>
          </cell>
          <cell r="AB2572">
            <v>1.64</v>
          </cell>
        </row>
        <row r="2573">
          <cell r="B2573" t="str">
            <v>Abirami K</v>
          </cell>
          <cell r="I2573" t="str">
            <v>Correct</v>
          </cell>
          <cell r="J2573">
            <v>2.19</v>
          </cell>
          <cell r="K2573" t="str">
            <v>Medium</v>
          </cell>
          <cell r="AB2573">
            <v>1.64</v>
          </cell>
        </row>
        <row r="2574">
          <cell r="B2574" t="str">
            <v>Abirami K</v>
          </cell>
          <cell r="I2574" t="str">
            <v>Correct</v>
          </cell>
          <cell r="J2574">
            <v>1.85</v>
          </cell>
          <cell r="K2574" t="str">
            <v>Medium</v>
          </cell>
          <cell r="AB2574">
            <v>1.95</v>
          </cell>
        </row>
        <row r="2575">
          <cell r="B2575" t="str">
            <v>Abirami K</v>
          </cell>
          <cell r="I2575" t="str">
            <v>Wrong</v>
          </cell>
          <cell r="J2575">
            <v>2.2599999999999998</v>
          </cell>
          <cell r="K2575" t="str">
            <v>Medium</v>
          </cell>
          <cell r="AB2575">
            <v>0</v>
          </cell>
        </row>
        <row r="2576">
          <cell r="B2576" t="str">
            <v>Abirami K</v>
          </cell>
          <cell r="I2576" t="str">
            <v>Correct</v>
          </cell>
          <cell r="J2576">
            <v>1.97</v>
          </cell>
          <cell r="K2576" t="str">
            <v>Medium</v>
          </cell>
          <cell r="AB2576">
            <v>1.83</v>
          </cell>
        </row>
        <row r="2577">
          <cell r="B2577" t="str">
            <v>Abirami K</v>
          </cell>
          <cell r="I2577" t="str">
            <v>Wrong</v>
          </cell>
          <cell r="J2577">
            <v>1.88</v>
          </cell>
          <cell r="K2577" t="str">
            <v>High</v>
          </cell>
          <cell r="AB2577">
            <v>0</v>
          </cell>
        </row>
        <row r="2578">
          <cell r="B2578" t="str">
            <v>Abirami K</v>
          </cell>
          <cell r="I2578" t="str">
            <v>Correct</v>
          </cell>
          <cell r="J2578">
            <v>2.58</v>
          </cell>
          <cell r="K2578" t="str">
            <v>High</v>
          </cell>
          <cell r="AB2578">
            <v>2.33</v>
          </cell>
        </row>
        <row r="2579">
          <cell r="B2579" t="str">
            <v>Abirami K</v>
          </cell>
          <cell r="I2579" t="str">
            <v>Correct</v>
          </cell>
          <cell r="J2579">
            <v>2.2599999999999998</v>
          </cell>
          <cell r="K2579" t="str">
            <v>High</v>
          </cell>
          <cell r="AB2579">
            <v>2.66</v>
          </cell>
        </row>
        <row r="2580">
          <cell r="B2580" t="str">
            <v>Abirami K</v>
          </cell>
          <cell r="I2580" t="str">
            <v>Correct</v>
          </cell>
          <cell r="J2580">
            <v>2.19</v>
          </cell>
          <cell r="K2580" t="str">
            <v>High</v>
          </cell>
          <cell r="AB2580">
            <v>2.74</v>
          </cell>
        </row>
        <row r="2581">
          <cell r="B2581" t="str">
            <v>Abirami K</v>
          </cell>
          <cell r="I2581" t="str">
            <v>Wrong</v>
          </cell>
          <cell r="J2581">
            <v>2.21</v>
          </cell>
          <cell r="K2581" t="str">
            <v>High</v>
          </cell>
          <cell r="AB2581">
            <v>0</v>
          </cell>
        </row>
        <row r="2582">
          <cell r="B2582" t="str">
            <v>Akilan M</v>
          </cell>
          <cell r="I2582" t="str">
            <v>Correct</v>
          </cell>
          <cell r="J2582">
            <v>0.94</v>
          </cell>
          <cell r="K2582" t="str">
            <v>Low</v>
          </cell>
          <cell r="AB2582">
            <v>2</v>
          </cell>
        </row>
        <row r="2583">
          <cell r="B2583" t="str">
            <v>Akilan M</v>
          </cell>
          <cell r="I2583" t="str">
            <v>Correct</v>
          </cell>
          <cell r="J2583">
            <v>1.89</v>
          </cell>
          <cell r="K2583" t="str">
            <v>Low</v>
          </cell>
          <cell r="AB2583">
            <v>0.79</v>
          </cell>
        </row>
        <row r="2584">
          <cell r="B2584" t="str">
            <v>Akilan M</v>
          </cell>
          <cell r="I2584" t="str">
            <v>Correct</v>
          </cell>
          <cell r="J2584">
            <v>0.94</v>
          </cell>
          <cell r="K2584" t="str">
            <v>Low</v>
          </cell>
          <cell r="AB2584">
            <v>2</v>
          </cell>
        </row>
        <row r="2585">
          <cell r="B2585" t="str">
            <v>Akilan M</v>
          </cell>
          <cell r="I2585" t="str">
            <v>Correct</v>
          </cell>
          <cell r="J2585">
            <v>1.72</v>
          </cell>
          <cell r="K2585" t="str">
            <v>Low</v>
          </cell>
          <cell r="AB2585">
            <v>0.87</v>
          </cell>
        </row>
        <row r="2586">
          <cell r="B2586" t="str">
            <v>Akilan M</v>
          </cell>
          <cell r="I2586" t="str">
            <v>Wrong</v>
          </cell>
          <cell r="J2586">
            <v>1.56</v>
          </cell>
          <cell r="K2586" t="str">
            <v>Low</v>
          </cell>
          <cell r="AB2586">
            <v>0</v>
          </cell>
        </row>
        <row r="2587">
          <cell r="B2587" t="str">
            <v>Akilan M</v>
          </cell>
          <cell r="I2587" t="str">
            <v>Correct</v>
          </cell>
          <cell r="J2587">
            <v>0.95</v>
          </cell>
          <cell r="K2587" t="str">
            <v>Low</v>
          </cell>
          <cell r="AB2587">
            <v>2</v>
          </cell>
        </row>
        <row r="2588">
          <cell r="B2588" t="str">
            <v>Akilan M</v>
          </cell>
          <cell r="I2588" t="str">
            <v>Correct</v>
          </cell>
          <cell r="J2588">
            <v>0.97</v>
          </cell>
          <cell r="K2588" t="str">
            <v>Low</v>
          </cell>
          <cell r="AB2588">
            <v>1</v>
          </cell>
        </row>
        <row r="2589">
          <cell r="B2589" t="str">
            <v>Akilan M</v>
          </cell>
          <cell r="I2589" t="str">
            <v>Correct</v>
          </cell>
          <cell r="J2589">
            <v>1.92</v>
          </cell>
          <cell r="K2589" t="str">
            <v>Low</v>
          </cell>
          <cell r="AB2589">
            <v>1.56</v>
          </cell>
        </row>
        <row r="2590">
          <cell r="B2590" t="str">
            <v>Akilan M</v>
          </cell>
          <cell r="I2590" t="str">
            <v>Correct</v>
          </cell>
          <cell r="J2590">
            <v>1.08</v>
          </cell>
          <cell r="K2590" t="str">
            <v>Low</v>
          </cell>
          <cell r="AB2590">
            <v>2</v>
          </cell>
        </row>
        <row r="2591">
          <cell r="B2591" t="str">
            <v>Akilan M</v>
          </cell>
          <cell r="I2591" t="str">
            <v>Correct</v>
          </cell>
          <cell r="J2591">
            <v>1.59</v>
          </cell>
          <cell r="K2591" t="str">
            <v>Medium</v>
          </cell>
          <cell r="AB2591">
            <v>2</v>
          </cell>
        </row>
        <row r="2592">
          <cell r="B2592" t="str">
            <v>Akilan M</v>
          </cell>
          <cell r="I2592" t="str">
            <v>Wrong</v>
          </cell>
          <cell r="J2592">
            <v>2</v>
          </cell>
          <cell r="K2592" t="str">
            <v>Medium</v>
          </cell>
          <cell r="AB2592">
            <v>0</v>
          </cell>
        </row>
        <row r="2593">
          <cell r="B2593" t="str">
            <v>Akilan M</v>
          </cell>
          <cell r="I2593" t="str">
            <v>Correct</v>
          </cell>
          <cell r="J2593">
            <v>1.78</v>
          </cell>
          <cell r="K2593" t="str">
            <v>Medium</v>
          </cell>
          <cell r="AB2593">
            <v>2</v>
          </cell>
        </row>
        <row r="2594">
          <cell r="B2594" t="str">
            <v>Akilan M</v>
          </cell>
          <cell r="I2594" t="str">
            <v>Correct</v>
          </cell>
          <cell r="J2594">
            <v>1.98</v>
          </cell>
          <cell r="K2594" t="str">
            <v>Medium</v>
          </cell>
          <cell r="AB2594">
            <v>1.82</v>
          </cell>
        </row>
        <row r="2595">
          <cell r="B2595" t="str">
            <v>Akilan M</v>
          </cell>
          <cell r="I2595" t="str">
            <v>Wrong</v>
          </cell>
          <cell r="J2595">
            <v>1.95</v>
          </cell>
          <cell r="K2595" t="str">
            <v>Medium</v>
          </cell>
          <cell r="AB2595">
            <v>0</v>
          </cell>
        </row>
        <row r="2596">
          <cell r="B2596" t="str">
            <v>Akilan M</v>
          </cell>
          <cell r="I2596" t="str">
            <v>Correct</v>
          </cell>
          <cell r="J2596">
            <v>1.23</v>
          </cell>
          <cell r="K2596" t="str">
            <v>Medium</v>
          </cell>
          <cell r="AB2596">
            <v>2</v>
          </cell>
        </row>
        <row r="2597">
          <cell r="B2597" t="str">
            <v>Akilan M</v>
          </cell>
          <cell r="I2597" t="str">
            <v>Wrong</v>
          </cell>
          <cell r="J2597">
            <v>1.76</v>
          </cell>
          <cell r="K2597" t="str">
            <v>High</v>
          </cell>
          <cell r="AB2597">
            <v>0</v>
          </cell>
        </row>
        <row r="2598">
          <cell r="B2598" t="str">
            <v>Akilan M</v>
          </cell>
          <cell r="I2598" t="str">
            <v>Correct</v>
          </cell>
          <cell r="J2598">
            <v>1.61</v>
          </cell>
          <cell r="K2598" t="str">
            <v>High</v>
          </cell>
          <cell r="AB2598">
            <v>3</v>
          </cell>
        </row>
        <row r="2599">
          <cell r="B2599" t="str">
            <v>Akilan M</v>
          </cell>
          <cell r="I2599" t="str">
            <v>Correct</v>
          </cell>
          <cell r="J2599">
            <v>2.1</v>
          </cell>
          <cell r="K2599" t="str">
            <v>High</v>
          </cell>
          <cell r="AB2599">
            <v>2.86</v>
          </cell>
        </row>
        <row r="2600">
          <cell r="B2600" t="str">
            <v>Akilan M</v>
          </cell>
          <cell r="I2600" t="str">
            <v>Wrong</v>
          </cell>
          <cell r="J2600">
            <v>2.11</v>
          </cell>
          <cell r="K2600" t="str">
            <v>High</v>
          </cell>
          <cell r="AB2600">
            <v>0</v>
          </cell>
        </row>
        <row r="2601">
          <cell r="B2601" t="str">
            <v>Akilan M</v>
          </cell>
          <cell r="I2601" t="str">
            <v>Wrong</v>
          </cell>
          <cell r="J2601">
            <v>2.2000000000000002</v>
          </cell>
          <cell r="K2601" t="str">
            <v>High</v>
          </cell>
          <cell r="AB2601">
            <v>0</v>
          </cell>
        </row>
        <row r="2602">
          <cell r="B2602" t="str">
            <v>Bharath Raj</v>
          </cell>
          <cell r="I2602" t="str">
            <v>Correct</v>
          </cell>
          <cell r="J2602">
            <v>1.1599999999999999</v>
          </cell>
          <cell r="K2602" t="str">
            <v>Low</v>
          </cell>
          <cell r="AB2602">
            <v>2</v>
          </cell>
        </row>
        <row r="2603">
          <cell r="B2603" t="str">
            <v>Bharath Raj</v>
          </cell>
          <cell r="I2603" t="str">
            <v>Correct</v>
          </cell>
          <cell r="J2603">
            <v>1.6</v>
          </cell>
          <cell r="K2603" t="str">
            <v>Low</v>
          </cell>
          <cell r="AB2603">
            <v>0.94</v>
          </cell>
        </row>
        <row r="2604">
          <cell r="B2604" t="str">
            <v>Bharath Raj</v>
          </cell>
          <cell r="I2604" t="str">
            <v>Wrong</v>
          </cell>
          <cell r="J2604">
            <v>1.22</v>
          </cell>
          <cell r="K2604" t="str">
            <v>Low</v>
          </cell>
          <cell r="AB2604">
            <v>0</v>
          </cell>
        </row>
        <row r="2605">
          <cell r="B2605" t="str">
            <v>Bharath Raj</v>
          </cell>
          <cell r="I2605" t="str">
            <v>Correct</v>
          </cell>
          <cell r="J2605">
            <v>1.49</v>
          </cell>
          <cell r="K2605" t="str">
            <v>Low</v>
          </cell>
          <cell r="AB2605">
            <v>1</v>
          </cell>
        </row>
        <row r="2606">
          <cell r="B2606" t="str">
            <v>Bharath Raj</v>
          </cell>
          <cell r="I2606" t="str">
            <v>Correct</v>
          </cell>
          <cell r="J2606">
            <v>1.22</v>
          </cell>
          <cell r="K2606" t="str">
            <v>Low</v>
          </cell>
          <cell r="AB2606">
            <v>1</v>
          </cell>
        </row>
        <row r="2607">
          <cell r="B2607" t="str">
            <v>Bharath Raj</v>
          </cell>
          <cell r="I2607" t="str">
            <v>Correct</v>
          </cell>
          <cell r="J2607">
            <v>0.96</v>
          </cell>
          <cell r="K2607" t="str">
            <v>Low</v>
          </cell>
          <cell r="AB2607">
            <v>2</v>
          </cell>
        </row>
        <row r="2608">
          <cell r="B2608" t="str">
            <v>Bharath Raj</v>
          </cell>
          <cell r="I2608" t="str">
            <v>Correct</v>
          </cell>
          <cell r="J2608">
            <v>1.28</v>
          </cell>
          <cell r="K2608" t="str">
            <v>Low</v>
          </cell>
          <cell r="AB2608">
            <v>1</v>
          </cell>
        </row>
        <row r="2609">
          <cell r="B2609" t="str">
            <v>Bharath Raj</v>
          </cell>
          <cell r="I2609" t="str">
            <v>Correct</v>
          </cell>
          <cell r="J2609">
            <v>1.2</v>
          </cell>
          <cell r="K2609" t="str">
            <v>Low</v>
          </cell>
          <cell r="AB2609">
            <v>2</v>
          </cell>
        </row>
        <row r="2610">
          <cell r="B2610" t="str">
            <v>Bharath Raj</v>
          </cell>
          <cell r="I2610" t="str">
            <v>Correct</v>
          </cell>
          <cell r="J2610">
            <v>1.56</v>
          </cell>
          <cell r="K2610" t="str">
            <v>Low</v>
          </cell>
          <cell r="AB2610">
            <v>1.92</v>
          </cell>
        </row>
        <row r="2611">
          <cell r="B2611" t="str">
            <v>Bharath Raj</v>
          </cell>
          <cell r="I2611" t="str">
            <v>Correct</v>
          </cell>
          <cell r="J2611">
            <v>1.24</v>
          </cell>
          <cell r="K2611" t="str">
            <v>Medium</v>
          </cell>
          <cell r="AB2611">
            <v>2</v>
          </cell>
        </row>
        <row r="2612">
          <cell r="B2612" t="str">
            <v>Bharath Raj</v>
          </cell>
          <cell r="I2612" t="str">
            <v>Correct</v>
          </cell>
          <cell r="J2612">
            <v>1.79</v>
          </cell>
          <cell r="K2612" t="str">
            <v>Medium</v>
          </cell>
          <cell r="AB2612">
            <v>2</v>
          </cell>
        </row>
        <row r="2613">
          <cell r="B2613" t="str">
            <v>Bharath Raj</v>
          </cell>
          <cell r="I2613" t="str">
            <v>Correct</v>
          </cell>
          <cell r="J2613">
            <v>1.33</v>
          </cell>
          <cell r="K2613" t="str">
            <v>Medium</v>
          </cell>
          <cell r="AB2613">
            <v>2</v>
          </cell>
        </row>
        <row r="2614">
          <cell r="B2614" t="str">
            <v>Bharath Raj</v>
          </cell>
          <cell r="I2614" t="str">
            <v>Correct</v>
          </cell>
          <cell r="J2614">
            <v>2.2999999999999998</v>
          </cell>
          <cell r="K2614" t="str">
            <v>Medium</v>
          </cell>
          <cell r="AB2614">
            <v>1.57</v>
          </cell>
        </row>
        <row r="2615">
          <cell r="B2615" t="str">
            <v>Bharath Raj</v>
          </cell>
          <cell r="I2615" t="str">
            <v>Correct</v>
          </cell>
          <cell r="J2615">
            <v>1.53</v>
          </cell>
          <cell r="K2615" t="str">
            <v>Medium</v>
          </cell>
          <cell r="AB2615">
            <v>2</v>
          </cell>
        </row>
        <row r="2616">
          <cell r="B2616" t="str">
            <v>Bharath Raj</v>
          </cell>
          <cell r="I2616" t="str">
            <v>Wrong</v>
          </cell>
          <cell r="J2616">
            <v>1.63</v>
          </cell>
          <cell r="K2616" t="str">
            <v>Medium</v>
          </cell>
          <cell r="AB2616">
            <v>0</v>
          </cell>
        </row>
        <row r="2617">
          <cell r="B2617" t="str">
            <v>Bharath Raj</v>
          </cell>
          <cell r="I2617" t="str">
            <v>Correct</v>
          </cell>
          <cell r="J2617">
            <v>2.0499999999999998</v>
          </cell>
          <cell r="K2617" t="str">
            <v>High</v>
          </cell>
          <cell r="AB2617">
            <v>2.93</v>
          </cell>
        </row>
        <row r="2618">
          <cell r="B2618" t="str">
            <v>Bharath Raj</v>
          </cell>
          <cell r="I2618" t="str">
            <v>Wrong</v>
          </cell>
          <cell r="J2618">
            <v>1.59</v>
          </cell>
          <cell r="K2618" t="str">
            <v>High</v>
          </cell>
          <cell r="AB2618">
            <v>0</v>
          </cell>
        </row>
        <row r="2619">
          <cell r="B2619" t="str">
            <v>Bharath Raj</v>
          </cell>
          <cell r="I2619" t="str">
            <v>Wrong</v>
          </cell>
          <cell r="J2619">
            <v>1.8</v>
          </cell>
          <cell r="K2619" t="str">
            <v>High</v>
          </cell>
          <cell r="AB2619">
            <v>0</v>
          </cell>
        </row>
        <row r="2620">
          <cell r="B2620" t="str">
            <v>Bharath Raj</v>
          </cell>
          <cell r="I2620" t="str">
            <v>Correct</v>
          </cell>
          <cell r="J2620">
            <v>1.66</v>
          </cell>
          <cell r="K2620" t="str">
            <v>High</v>
          </cell>
          <cell r="AB2620">
            <v>3</v>
          </cell>
        </row>
        <row r="2621">
          <cell r="B2621" t="str">
            <v>Bharath Raj</v>
          </cell>
          <cell r="I2621" t="str">
            <v>Correct</v>
          </cell>
          <cell r="J2621">
            <v>1.44</v>
          </cell>
          <cell r="K2621" t="str">
            <v>High</v>
          </cell>
          <cell r="AB2621">
            <v>3</v>
          </cell>
        </row>
        <row r="2622">
          <cell r="B2622" t="str">
            <v>Chandrika S</v>
          </cell>
          <cell r="I2622" t="str">
            <v>Correct</v>
          </cell>
          <cell r="J2622">
            <v>1.41</v>
          </cell>
          <cell r="K2622" t="str">
            <v>Low</v>
          </cell>
          <cell r="AB2622">
            <v>2</v>
          </cell>
        </row>
        <row r="2623">
          <cell r="B2623" t="str">
            <v>Chandrika S</v>
          </cell>
          <cell r="I2623" t="str">
            <v>Correct</v>
          </cell>
          <cell r="J2623">
            <v>0.92</v>
          </cell>
          <cell r="K2623" t="str">
            <v>Low</v>
          </cell>
          <cell r="AB2623">
            <v>1</v>
          </cell>
        </row>
        <row r="2624">
          <cell r="B2624" t="str">
            <v>Chandrika S</v>
          </cell>
          <cell r="I2624" t="str">
            <v>Correct</v>
          </cell>
          <cell r="J2624">
            <v>1.81</v>
          </cell>
          <cell r="K2624" t="str">
            <v>Low</v>
          </cell>
          <cell r="AB2624">
            <v>1.66</v>
          </cell>
        </row>
        <row r="2625">
          <cell r="B2625" t="str">
            <v>Chandrika S</v>
          </cell>
          <cell r="I2625" t="str">
            <v>Correct</v>
          </cell>
          <cell r="J2625">
            <v>1.2</v>
          </cell>
          <cell r="K2625" t="str">
            <v>Low</v>
          </cell>
          <cell r="AB2625">
            <v>1</v>
          </cell>
        </row>
        <row r="2626">
          <cell r="B2626" t="str">
            <v>Chandrika S</v>
          </cell>
          <cell r="I2626" t="str">
            <v>Correct</v>
          </cell>
          <cell r="J2626">
            <v>1.08</v>
          </cell>
          <cell r="K2626" t="str">
            <v>Low</v>
          </cell>
          <cell r="AB2626">
            <v>1</v>
          </cell>
        </row>
        <row r="2627">
          <cell r="B2627" t="str">
            <v>Chandrika S</v>
          </cell>
          <cell r="I2627" t="str">
            <v>Correct</v>
          </cell>
          <cell r="J2627">
            <v>1.67</v>
          </cell>
          <cell r="K2627" t="str">
            <v>Low</v>
          </cell>
          <cell r="AB2627">
            <v>1.8</v>
          </cell>
        </row>
        <row r="2628">
          <cell r="B2628" t="str">
            <v>Chandrika S</v>
          </cell>
          <cell r="I2628" t="str">
            <v>Correct</v>
          </cell>
          <cell r="J2628">
            <v>1.1299999999999999</v>
          </cell>
          <cell r="K2628" t="str">
            <v>Low</v>
          </cell>
          <cell r="AB2628">
            <v>1</v>
          </cell>
        </row>
        <row r="2629">
          <cell r="B2629" t="str">
            <v>Chandrika S</v>
          </cell>
          <cell r="I2629" t="str">
            <v>Correct</v>
          </cell>
          <cell r="J2629">
            <v>1.74</v>
          </cell>
          <cell r="K2629" t="str">
            <v>Low</v>
          </cell>
          <cell r="AB2629">
            <v>1.72</v>
          </cell>
        </row>
        <row r="2630">
          <cell r="B2630" t="str">
            <v>Chandrika S</v>
          </cell>
          <cell r="I2630" t="str">
            <v>Wrong</v>
          </cell>
          <cell r="J2630">
            <v>1.07</v>
          </cell>
          <cell r="K2630" t="str">
            <v>Low</v>
          </cell>
          <cell r="AB2630">
            <v>0</v>
          </cell>
        </row>
        <row r="2631">
          <cell r="B2631" t="str">
            <v>Chandrika S</v>
          </cell>
          <cell r="I2631" t="str">
            <v>Correct</v>
          </cell>
          <cell r="J2631">
            <v>1.67</v>
          </cell>
          <cell r="K2631" t="str">
            <v>Medium</v>
          </cell>
          <cell r="AB2631">
            <v>2</v>
          </cell>
        </row>
        <row r="2632">
          <cell r="B2632" t="str">
            <v>Chandrika S</v>
          </cell>
          <cell r="I2632" t="str">
            <v>Correct</v>
          </cell>
          <cell r="J2632">
            <v>2.09</v>
          </cell>
          <cell r="K2632" t="str">
            <v>Medium</v>
          </cell>
          <cell r="AB2632">
            <v>1.72</v>
          </cell>
        </row>
        <row r="2633">
          <cell r="B2633" t="str">
            <v>Chandrika S</v>
          </cell>
          <cell r="I2633" t="str">
            <v>Wrong</v>
          </cell>
          <cell r="J2633">
            <v>2.2400000000000002</v>
          </cell>
          <cell r="K2633" t="str">
            <v>Medium</v>
          </cell>
          <cell r="AB2633">
            <v>0</v>
          </cell>
        </row>
        <row r="2634">
          <cell r="B2634" t="str">
            <v>Chandrika S</v>
          </cell>
          <cell r="I2634" t="str">
            <v>Correct</v>
          </cell>
          <cell r="J2634">
            <v>1.85</v>
          </cell>
          <cell r="K2634" t="str">
            <v>Medium</v>
          </cell>
          <cell r="AB2634">
            <v>1.95</v>
          </cell>
        </row>
        <row r="2635">
          <cell r="B2635" t="str">
            <v>Chandrika S</v>
          </cell>
          <cell r="I2635" t="str">
            <v>Correct</v>
          </cell>
          <cell r="J2635">
            <v>2.13</v>
          </cell>
          <cell r="K2635" t="str">
            <v>Medium</v>
          </cell>
          <cell r="AB2635">
            <v>1.69</v>
          </cell>
        </row>
        <row r="2636">
          <cell r="B2636" t="str">
            <v>Chandrika S</v>
          </cell>
          <cell r="I2636" t="str">
            <v>Correct</v>
          </cell>
          <cell r="J2636">
            <v>1.76</v>
          </cell>
          <cell r="K2636" t="str">
            <v>Medium</v>
          </cell>
          <cell r="AB2636">
            <v>2</v>
          </cell>
        </row>
        <row r="2637">
          <cell r="B2637" t="str">
            <v>Chandrika S</v>
          </cell>
          <cell r="I2637" t="str">
            <v>Wrong</v>
          </cell>
          <cell r="J2637">
            <v>2.52</v>
          </cell>
          <cell r="K2637" t="str">
            <v>High</v>
          </cell>
          <cell r="AB2637">
            <v>0</v>
          </cell>
        </row>
        <row r="2638">
          <cell r="B2638" t="str">
            <v>Chandrika S</v>
          </cell>
          <cell r="I2638" t="str">
            <v>Wrong</v>
          </cell>
          <cell r="J2638">
            <v>1.29</v>
          </cell>
          <cell r="K2638" t="str">
            <v>High</v>
          </cell>
          <cell r="AB2638">
            <v>0</v>
          </cell>
        </row>
        <row r="2639">
          <cell r="B2639" t="str">
            <v>Chandrika S</v>
          </cell>
          <cell r="I2639" t="str">
            <v>Wrong</v>
          </cell>
          <cell r="J2639">
            <v>2.25</v>
          </cell>
          <cell r="K2639" t="str">
            <v>High</v>
          </cell>
          <cell r="AB2639">
            <v>0</v>
          </cell>
        </row>
        <row r="2640">
          <cell r="B2640" t="str">
            <v>Chandrika S</v>
          </cell>
          <cell r="I2640" t="str">
            <v>Correct</v>
          </cell>
          <cell r="J2640">
            <v>1.57</v>
          </cell>
          <cell r="K2640" t="str">
            <v>High</v>
          </cell>
          <cell r="AB2640">
            <v>3</v>
          </cell>
        </row>
        <row r="2641">
          <cell r="B2641" t="str">
            <v>Chandrika S</v>
          </cell>
          <cell r="I2641" t="str">
            <v>Wrong</v>
          </cell>
          <cell r="J2641">
            <v>2.46</v>
          </cell>
          <cell r="K2641" t="str">
            <v>High</v>
          </cell>
          <cell r="AB2641">
            <v>0</v>
          </cell>
        </row>
        <row r="2642">
          <cell r="B2642" t="str">
            <v>Darshan Kumar</v>
          </cell>
          <cell r="I2642" t="str">
            <v>Wrong</v>
          </cell>
          <cell r="J2642">
            <v>1.41</v>
          </cell>
          <cell r="K2642" t="str">
            <v>Low</v>
          </cell>
          <cell r="AB2642">
            <v>0</v>
          </cell>
        </row>
        <row r="2643">
          <cell r="B2643" t="str">
            <v>Darshan Kumar</v>
          </cell>
          <cell r="I2643" t="str">
            <v>Correct</v>
          </cell>
          <cell r="J2643">
            <v>1.27</v>
          </cell>
          <cell r="K2643" t="str">
            <v>Low</v>
          </cell>
          <cell r="AB2643">
            <v>1</v>
          </cell>
        </row>
        <row r="2644">
          <cell r="B2644" t="str">
            <v>Darshan Kumar</v>
          </cell>
          <cell r="I2644" t="str">
            <v>Correct</v>
          </cell>
          <cell r="J2644">
            <v>0.98</v>
          </cell>
          <cell r="K2644" t="str">
            <v>Low</v>
          </cell>
          <cell r="AB2644">
            <v>2</v>
          </cell>
        </row>
        <row r="2645">
          <cell r="B2645" t="str">
            <v>Darshan Kumar</v>
          </cell>
          <cell r="I2645" t="str">
            <v>Correct</v>
          </cell>
          <cell r="J2645">
            <v>1.22</v>
          </cell>
          <cell r="K2645" t="str">
            <v>Low</v>
          </cell>
          <cell r="AB2645">
            <v>1</v>
          </cell>
        </row>
        <row r="2646">
          <cell r="B2646" t="str">
            <v>Darshan Kumar</v>
          </cell>
          <cell r="I2646" t="str">
            <v>Correct</v>
          </cell>
          <cell r="J2646">
            <v>1.1100000000000001</v>
          </cell>
          <cell r="K2646" t="str">
            <v>Low</v>
          </cell>
          <cell r="AB2646">
            <v>1</v>
          </cell>
        </row>
        <row r="2647">
          <cell r="B2647" t="str">
            <v>Darshan Kumar</v>
          </cell>
          <cell r="I2647" t="str">
            <v>Correct</v>
          </cell>
          <cell r="J2647">
            <v>1.18</v>
          </cell>
          <cell r="K2647" t="str">
            <v>Low</v>
          </cell>
          <cell r="AB2647">
            <v>2</v>
          </cell>
        </row>
        <row r="2648">
          <cell r="B2648" t="str">
            <v>Darshan Kumar</v>
          </cell>
          <cell r="I2648" t="str">
            <v>Correct</v>
          </cell>
          <cell r="J2648">
            <v>1.88</v>
          </cell>
          <cell r="K2648" t="str">
            <v>Low</v>
          </cell>
          <cell r="AB2648">
            <v>0.8</v>
          </cell>
        </row>
        <row r="2649">
          <cell r="B2649" t="str">
            <v>Darshan Kumar</v>
          </cell>
          <cell r="I2649" t="str">
            <v>Correct</v>
          </cell>
          <cell r="J2649">
            <v>1.1000000000000001</v>
          </cell>
          <cell r="K2649" t="str">
            <v>Low</v>
          </cell>
          <cell r="AB2649">
            <v>2</v>
          </cell>
        </row>
        <row r="2650">
          <cell r="B2650" t="str">
            <v>Darshan Kumar</v>
          </cell>
          <cell r="I2650" t="str">
            <v>Correct</v>
          </cell>
          <cell r="J2650">
            <v>1.56</v>
          </cell>
          <cell r="K2650" t="str">
            <v>Low</v>
          </cell>
          <cell r="AB2650">
            <v>1.92</v>
          </cell>
        </row>
        <row r="2651">
          <cell r="B2651" t="str">
            <v>Darshan Kumar</v>
          </cell>
          <cell r="I2651" t="str">
            <v>Wrong</v>
          </cell>
          <cell r="J2651">
            <v>2.29</v>
          </cell>
          <cell r="K2651" t="str">
            <v>Medium</v>
          </cell>
          <cell r="AB2651">
            <v>0</v>
          </cell>
        </row>
        <row r="2652">
          <cell r="B2652" t="str">
            <v>Darshan Kumar</v>
          </cell>
          <cell r="I2652" t="str">
            <v>Correct</v>
          </cell>
          <cell r="J2652">
            <v>1.23</v>
          </cell>
          <cell r="K2652" t="str">
            <v>Medium</v>
          </cell>
          <cell r="AB2652">
            <v>2</v>
          </cell>
        </row>
        <row r="2653">
          <cell r="B2653" t="str">
            <v>Darshan Kumar</v>
          </cell>
          <cell r="I2653" t="str">
            <v>Correct</v>
          </cell>
          <cell r="J2653">
            <v>2.1800000000000002</v>
          </cell>
          <cell r="K2653" t="str">
            <v>Medium</v>
          </cell>
          <cell r="AB2653">
            <v>1.65</v>
          </cell>
        </row>
        <row r="2654">
          <cell r="B2654" t="str">
            <v>Darshan Kumar</v>
          </cell>
          <cell r="I2654" t="str">
            <v>Wrong</v>
          </cell>
          <cell r="J2654">
            <v>2.19</v>
          </cell>
          <cell r="K2654" t="str">
            <v>Medium</v>
          </cell>
          <cell r="AB2654">
            <v>0</v>
          </cell>
        </row>
        <row r="2655">
          <cell r="B2655" t="str">
            <v>Darshan Kumar</v>
          </cell>
          <cell r="I2655" t="str">
            <v>Correct</v>
          </cell>
          <cell r="J2655">
            <v>2.14</v>
          </cell>
          <cell r="K2655" t="str">
            <v>Medium</v>
          </cell>
          <cell r="AB2655">
            <v>1.68</v>
          </cell>
        </row>
        <row r="2656">
          <cell r="B2656" t="str">
            <v>Darshan Kumar</v>
          </cell>
          <cell r="I2656" t="str">
            <v>Wrong</v>
          </cell>
          <cell r="J2656">
            <v>2.08</v>
          </cell>
          <cell r="K2656" t="str">
            <v>Medium</v>
          </cell>
          <cell r="AB2656">
            <v>0</v>
          </cell>
        </row>
        <row r="2657">
          <cell r="B2657" t="str">
            <v>Darshan Kumar</v>
          </cell>
          <cell r="I2657" t="str">
            <v>Correct</v>
          </cell>
          <cell r="J2657">
            <v>2.4700000000000002</v>
          </cell>
          <cell r="K2657" t="str">
            <v>High</v>
          </cell>
          <cell r="AB2657">
            <v>2.4300000000000002</v>
          </cell>
        </row>
        <row r="2658">
          <cell r="B2658" t="str">
            <v>Darshan Kumar</v>
          </cell>
          <cell r="I2658" t="str">
            <v>Correct</v>
          </cell>
          <cell r="J2658">
            <v>2.33</v>
          </cell>
          <cell r="K2658" t="str">
            <v>High</v>
          </cell>
          <cell r="AB2658">
            <v>2.57</v>
          </cell>
        </row>
        <row r="2659">
          <cell r="B2659" t="str">
            <v>Darshan Kumar</v>
          </cell>
          <cell r="I2659" t="str">
            <v>Wrong</v>
          </cell>
          <cell r="J2659">
            <v>1.54</v>
          </cell>
          <cell r="K2659" t="str">
            <v>High</v>
          </cell>
          <cell r="AB2659">
            <v>0</v>
          </cell>
        </row>
        <row r="2660">
          <cell r="B2660" t="str">
            <v>Darshan Kumar</v>
          </cell>
          <cell r="I2660" t="str">
            <v>Wrong</v>
          </cell>
          <cell r="J2660">
            <v>1.35</v>
          </cell>
          <cell r="K2660" t="str">
            <v>High</v>
          </cell>
          <cell r="AB2660">
            <v>0</v>
          </cell>
        </row>
        <row r="2661">
          <cell r="B2661" t="str">
            <v>Darshan Kumar</v>
          </cell>
          <cell r="I2661" t="str">
            <v>Wrong</v>
          </cell>
          <cell r="J2661">
            <v>1.48</v>
          </cell>
          <cell r="K2661" t="str">
            <v>High</v>
          </cell>
          <cell r="AB2661">
            <v>0</v>
          </cell>
        </row>
        <row r="2662">
          <cell r="B2662" t="str">
            <v>Elango R</v>
          </cell>
          <cell r="I2662" t="str">
            <v>Wrong</v>
          </cell>
          <cell r="J2662">
            <v>1.62</v>
          </cell>
          <cell r="K2662" t="str">
            <v>Low</v>
          </cell>
          <cell r="AB2662">
            <v>0</v>
          </cell>
        </row>
        <row r="2663">
          <cell r="B2663" t="str">
            <v>Elango R</v>
          </cell>
          <cell r="I2663" t="str">
            <v>Correct</v>
          </cell>
          <cell r="J2663">
            <v>1.1499999999999999</v>
          </cell>
          <cell r="K2663" t="str">
            <v>Low</v>
          </cell>
          <cell r="AB2663">
            <v>1</v>
          </cell>
        </row>
        <row r="2664">
          <cell r="B2664" t="str">
            <v>Elango R</v>
          </cell>
          <cell r="I2664" t="str">
            <v>Wrong</v>
          </cell>
          <cell r="J2664">
            <v>1.96</v>
          </cell>
          <cell r="K2664" t="str">
            <v>Low</v>
          </cell>
          <cell r="AB2664">
            <v>0</v>
          </cell>
        </row>
        <row r="2665">
          <cell r="B2665" t="str">
            <v>Elango R</v>
          </cell>
          <cell r="I2665" t="str">
            <v>Correct</v>
          </cell>
          <cell r="J2665">
            <v>1.07</v>
          </cell>
          <cell r="K2665" t="str">
            <v>Low</v>
          </cell>
          <cell r="AB2665">
            <v>1</v>
          </cell>
        </row>
        <row r="2666">
          <cell r="B2666" t="str">
            <v>Elango R</v>
          </cell>
          <cell r="I2666" t="str">
            <v>Correct</v>
          </cell>
          <cell r="J2666">
            <v>1.24</v>
          </cell>
          <cell r="K2666" t="str">
            <v>Low</v>
          </cell>
          <cell r="AB2666">
            <v>1</v>
          </cell>
        </row>
        <row r="2667">
          <cell r="B2667" t="str">
            <v>Elango R</v>
          </cell>
          <cell r="I2667" t="str">
            <v>Correct</v>
          </cell>
          <cell r="J2667">
            <v>1.41</v>
          </cell>
          <cell r="K2667" t="str">
            <v>Low</v>
          </cell>
          <cell r="AB2667">
            <v>2</v>
          </cell>
        </row>
        <row r="2668">
          <cell r="B2668" t="str">
            <v>Elango R</v>
          </cell>
          <cell r="I2668" t="str">
            <v>Correct</v>
          </cell>
          <cell r="J2668">
            <v>1.78</v>
          </cell>
          <cell r="K2668" t="str">
            <v>Low</v>
          </cell>
          <cell r="AB2668">
            <v>0.84</v>
          </cell>
        </row>
        <row r="2669">
          <cell r="B2669" t="str">
            <v>Elango R</v>
          </cell>
          <cell r="I2669" t="str">
            <v>Correct</v>
          </cell>
          <cell r="J2669">
            <v>1.69</v>
          </cell>
          <cell r="K2669" t="str">
            <v>Low</v>
          </cell>
          <cell r="AB2669">
            <v>1.78</v>
          </cell>
        </row>
        <row r="2670">
          <cell r="B2670" t="str">
            <v>Elango R</v>
          </cell>
          <cell r="I2670" t="str">
            <v>Correct</v>
          </cell>
          <cell r="J2670">
            <v>1.74</v>
          </cell>
          <cell r="K2670" t="str">
            <v>Low</v>
          </cell>
          <cell r="AB2670">
            <v>1.72</v>
          </cell>
        </row>
        <row r="2671">
          <cell r="B2671" t="str">
            <v>Elango R</v>
          </cell>
          <cell r="I2671" t="str">
            <v>Wrong</v>
          </cell>
          <cell r="J2671">
            <v>1.55</v>
          </cell>
          <cell r="K2671" t="str">
            <v>Medium</v>
          </cell>
          <cell r="AB2671">
            <v>0</v>
          </cell>
        </row>
        <row r="2672">
          <cell r="B2672" t="str">
            <v>Elango R</v>
          </cell>
          <cell r="I2672" t="str">
            <v>Wrong</v>
          </cell>
          <cell r="J2672">
            <v>1.92</v>
          </cell>
          <cell r="K2672" t="str">
            <v>Medium</v>
          </cell>
          <cell r="AB2672">
            <v>0</v>
          </cell>
        </row>
        <row r="2673">
          <cell r="B2673" t="str">
            <v>Elango R</v>
          </cell>
          <cell r="I2673" t="str">
            <v>Wrong</v>
          </cell>
          <cell r="J2673">
            <v>1.5</v>
          </cell>
          <cell r="K2673" t="str">
            <v>Medium</v>
          </cell>
          <cell r="AB2673">
            <v>0</v>
          </cell>
        </row>
        <row r="2674">
          <cell r="B2674" t="str">
            <v>Elango R</v>
          </cell>
          <cell r="I2674" t="str">
            <v>Correct</v>
          </cell>
          <cell r="J2674">
            <v>1.48</v>
          </cell>
          <cell r="K2674" t="str">
            <v>Medium</v>
          </cell>
          <cell r="AB2674">
            <v>2</v>
          </cell>
        </row>
        <row r="2675">
          <cell r="B2675" t="str">
            <v>Elango R</v>
          </cell>
          <cell r="I2675" t="str">
            <v>Wrong</v>
          </cell>
          <cell r="J2675">
            <v>1.1499999999999999</v>
          </cell>
          <cell r="K2675" t="str">
            <v>Medium</v>
          </cell>
          <cell r="AB2675">
            <v>0</v>
          </cell>
        </row>
        <row r="2676">
          <cell r="B2676" t="str">
            <v>Elango R</v>
          </cell>
          <cell r="I2676" t="str">
            <v>Correct</v>
          </cell>
          <cell r="J2676">
            <v>1.3</v>
          </cell>
          <cell r="K2676" t="str">
            <v>Medium</v>
          </cell>
          <cell r="AB2676">
            <v>2</v>
          </cell>
        </row>
        <row r="2677">
          <cell r="B2677" t="str">
            <v>Elango R</v>
          </cell>
          <cell r="I2677" t="str">
            <v>Wrong</v>
          </cell>
          <cell r="J2677">
            <v>2.5299999999999998</v>
          </cell>
          <cell r="K2677" t="str">
            <v>High</v>
          </cell>
          <cell r="AB2677">
            <v>0</v>
          </cell>
        </row>
        <row r="2678">
          <cell r="B2678" t="str">
            <v>Elango R</v>
          </cell>
          <cell r="I2678" t="str">
            <v>Wrong</v>
          </cell>
          <cell r="J2678">
            <v>1.86</v>
          </cell>
          <cell r="K2678" t="str">
            <v>High</v>
          </cell>
          <cell r="AB2678">
            <v>0</v>
          </cell>
        </row>
        <row r="2679">
          <cell r="B2679" t="str">
            <v>Elango R</v>
          </cell>
          <cell r="I2679" t="str">
            <v>Wrong</v>
          </cell>
          <cell r="J2679">
            <v>2.2599999999999998</v>
          </cell>
          <cell r="K2679" t="str">
            <v>High</v>
          </cell>
          <cell r="AB2679">
            <v>0</v>
          </cell>
        </row>
        <row r="2680">
          <cell r="B2680" t="str">
            <v>Elango R</v>
          </cell>
          <cell r="I2680" t="str">
            <v>Correct</v>
          </cell>
          <cell r="J2680">
            <v>2.1800000000000002</v>
          </cell>
          <cell r="K2680" t="str">
            <v>High</v>
          </cell>
          <cell r="AB2680">
            <v>2.75</v>
          </cell>
        </row>
        <row r="2681">
          <cell r="B2681" t="str">
            <v>Elango R</v>
          </cell>
          <cell r="I2681" t="str">
            <v>Correct</v>
          </cell>
          <cell r="J2681">
            <v>2.16</v>
          </cell>
          <cell r="K2681" t="str">
            <v>High</v>
          </cell>
          <cell r="AB2681">
            <v>2.78</v>
          </cell>
        </row>
        <row r="2682">
          <cell r="B2682" t="str">
            <v>Feroz Ahmed</v>
          </cell>
          <cell r="I2682" t="str">
            <v>Wrong</v>
          </cell>
          <cell r="J2682">
            <v>1.21</v>
          </cell>
          <cell r="K2682" t="str">
            <v>Low</v>
          </cell>
          <cell r="AB2682">
            <v>0</v>
          </cell>
        </row>
        <row r="2683">
          <cell r="B2683" t="str">
            <v>Feroz Ahmed</v>
          </cell>
          <cell r="I2683" t="str">
            <v>Correct</v>
          </cell>
          <cell r="J2683">
            <v>1.71</v>
          </cell>
          <cell r="K2683" t="str">
            <v>Low</v>
          </cell>
          <cell r="AB2683">
            <v>0.88</v>
          </cell>
        </row>
        <row r="2684">
          <cell r="B2684" t="str">
            <v>Feroz Ahmed</v>
          </cell>
          <cell r="I2684" t="str">
            <v>Correct</v>
          </cell>
          <cell r="J2684">
            <v>0.96</v>
          </cell>
          <cell r="K2684" t="str">
            <v>Low</v>
          </cell>
          <cell r="AB2684">
            <v>2</v>
          </cell>
        </row>
        <row r="2685">
          <cell r="B2685" t="str">
            <v>Feroz Ahmed</v>
          </cell>
          <cell r="I2685" t="str">
            <v>Correct</v>
          </cell>
          <cell r="J2685">
            <v>1.84</v>
          </cell>
          <cell r="K2685" t="str">
            <v>Low</v>
          </cell>
          <cell r="AB2685">
            <v>0.82</v>
          </cell>
        </row>
        <row r="2686">
          <cell r="B2686" t="str">
            <v>Feroz Ahmed</v>
          </cell>
          <cell r="I2686" t="str">
            <v>Correct</v>
          </cell>
          <cell r="J2686">
            <v>1.55</v>
          </cell>
          <cell r="K2686" t="str">
            <v>Low</v>
          </cell>
          <cell r="AB2686">
            <v>0.97</v>
          </cell>
        </row>
        <row r="2687">
          <cell r="B2687" t="str">
            <v>Feroz Ahmed</v>
          </cell>
          <cell r="I2687" t="str">
            <v>Correct</v>
          </cell>
          <cell r="J2687">
            <v>1.77</v>
          </cell>
          <cell r="K2687" t="str">
            <v>Low</v>
          </cell>
          <cell r="AB2687">
            <v>1.69</v>
          </cell>
        </row>
        <row r="2688">
          <cell r="B2688" t="str">
            <v>Feroz Ahmed</v>
          </cell>
          <cell r="I2688" t="str">
            <v>Correct</v>
          </cell>
          <cell r="J2688">
            <v>1.18</v>
          </cell>
          <cell r="K2688" t="str">
            <v>Low</v>
          </cell>
          <cell r="AB2688">
            <v>1</v>
          </cell>
        </row>
        <row r="2689">
          <cell r="B2689" t="str">
            <v>Feroz Ahmed</v>
          </cell>
          <cell r="I2689" t="str">
            <v>Correct</v>
          </cell>
          <cell r="J2689">
            <v>0.99</v>
          </cell>
          <cell r="K2689" t="str">
            <v>Low</v>
          </cell>
          <cell r="AB2689">
            <v>2</v>
          </cell>
        </row>
        <row r="2690">
          <cell r="B2690" t="str">
            <v>Feroz Ahmed</v>
          </cell>
          <cell r="I2690" t="str">
            <v>Correct</v>
          </cell>
          <cell r="J2690">
            <v>1.65</v>
          </cell>
          <cell r="K2690" t="str">
            <v>Low</v>
          </cell>
          <cell r="AB2690">
            <v>1.82</v>
          </cell>
        </row>
        <row r="2691">
          <cell r="B2691" t="str">
            <v>Feroz Ahmed</v>
          </cell>
          <cell r="I2691" t="str">
            <v>Correct</v>
          </cell>
          <cell r="J2691">
            <v>1.56</v>
          </cell>
          <cell r="K2691" t="str">
            <v>Medium</v>
          </cell>
          <cell r="AB2691">
            <v>2</v>
          </cell>
        </row>
        <row r="2692">
          <cell r="B2692" t="str">
            <v>Feroz Ahmed</v>
          </cell>
          <cell r="I2692" t="str">
            <v>Wrong</v>
          </cell>
          <cell r="J2692">
            <v>1.44</v>
          </cell>
          <cell r="K2692" t="str">
            <v>Medium</v>
          </cell>
          <cell r="AB2692">
            <v>0</v>
          </cell>
        </row>
        <row r="2693">
          <cell r="B2693" t="str">
            <v>Feroz Ahmed</v>
          </cell>
          <cell r="I2693" t="str">
            <v>Correct</v>
          </cell>
          <cell r="J2693">
            <v>1.65</v>
          </cell>
          <cell r="K2693" t="str">
            <v>Medium</v>
          </cell>
          <cell r="AB2693">
            <v>2</v>
          </cell>
        </row>
        <row r="2694">
          <cell r="B2694" t="str">
            <v>Feroz Ahmed</v>
          </cell>
          <cell r="I2694" t="str">
            <v>Correct</v>
          </cell>
          <cell r="J2694">
            <v>2.06</v>
          </cell>
          <cell r="K2694" t="str">
            <v>Medium</v>
          </cell>
          <cell r="AB2694">
            <v>1.75</v>
          </cell>
        </row>
        <row r="2695">
          <cell r="B2695" t="str">
            <v>Feroz Ahmed</v>
          </cell>
          <cell r="I2695" t="str">
            <v>Correct</v>
          </cell>
          <cell r="J2695">
            <v>1.95</v>
          </cell>
          <cell r="K2695" t="str">
            <v>Medium</v>
          </cell>
          <cell r="AB2695">
            <v>1.85</v>
          </cell>
        </row>
        <row r="2696">
          <cell r="B2696" t="str">
            <v>Feroz Ahmed</v>
          </cell>
          <cell r="I2696" t="str">
            <v>Correct</v>
          </cell>
          <cell r="J2696">
            <v>1.36</v>
          </cell>
          <cell r="K2696" t="str">
            <v>Medium</v>
          </cell>
          <cell r="AB2696">
            <v>2</v>
          </cell>
        </row>
        <row r="2697">
          <cell r="B2697" t="str">
            <v>Feroz Ahmed</v>
          </cell>
          <cell r="I2697" t="str">
            <v>Wrong</v>
          </cell>
          <cell r="J2697">
            <v>2.09</v>
          </cell>
          <cell r="K2697" t="str">
            <v>High</v>
          </cell>
          <cell r="AB2697">
            <v>0</v>
          </cell>
        </row>
        <row r="2698">
          <cell r="B2698" t="str">
            <v>Feroz Ahmed</v>
          </cell>
          <cell r="I2698" t="str">
            <v>Wrong</v>
          </cell>
          <cell r="J2698">
            <v>1.9</v>
          </cell>
          <cell r="K2698" t="str">
            <v>High</v>
          </cell>
          <cell r="AB2698">
            <v>0</v>
          </cell>
        </row>
        <row r="2699">
          <cell r="B2699" t="str">
            <v>Feroz Ahmed</v>
          </cell>
          <cell r="I2699" t="str">
            <v>Correct</v>
          </cell>
          <cell r="J2699">
            <v>1.36</v>
          </cell>
          <cell r="K2699" t="str">
            <v>High</v>
          </cell>
          <cell r="AB2699">
            <v>3</v>
          </cell>
        </row>
        <row r="2700">
          <cell r="B2700" t="str">
            <v>Feroz Ahmed</v>
          </cell>
          <cell r="I2700" t="str">
            <v>Wrong</v>
          </cell>
          <cell r="J2700">
            <v>2.11</v>
          </cell>
          <cell r="K2700" t="str">
            <v>High</v>
          </cell>
          <cell r="AB2700">
            <v>0</v>
          </cell>
        </row>
        <row r="2701">
          <cell r="B2701" t="str">
            <v>Feroz Ahmed</v>
          </cell>
          <cell r="I2701" t="str">
            <v>Wrong</v>
          </cell>
          <cell r="J2701">
            <v>1.37</v>
          </cell>
          <cell r="K2701" t="str">
            <v>High</v>
          </cell>
          <cell r="AB2701">
            <v>0</v>
          </cell>
        </row>
        <row r="2702">
          <cell r="B2702" t="str">
            <v>Gireesh K</v>
          </cell>
          <cell r="I2702" t="str">
            <v>Correct</v>
          </cell>
          <cell r="J2702">
            <v>1.1000000000000001</v>
          </cell>
          <cell r="K2702" t="str">
            <v>Low</v>
          </cell>
          <cell r="AB2702">
            <v>2</v>
          </cell>
        </row>
        <row r="2703">
          <cell r="B2703" t="str">
            <v>Gireesh K</v>
          </cell>
          <cell r="I2703" t="str">
            <v>Wrong</v>
          </cell>
          <cell r="J2703">
            <v>1.2</v>
          </cell>
          <cell r="K2703" t="str">
            <v>Low</v>
          </cell>
          <cell r="AB2703">
            <v>0</v>
          </cell>
        </row>
        <row r="2704">
          <cell r="B2704" t="str">
            <v>Gireesh K</v>
          </cell>
          <cell r="I2704" t="str">
            <v>Correct</v>
          </cell>
          <cell r="J2704">
            <v>0.98</v>
          </cell>
          <cell r="K2704" t="str">
            <v>Low</v>
          </cell>
          <cell r="AB2704">
            <v>2</v>
          </cell>
        </row>
        <row r="2705">
          <cell r="B2705" t="str">
            <v>Gireesh K</v>
          </cell>
          <cell r="I2705" t="str">
            <v>Correct</v>
          </cell>
          <cell r="J2705">
            <v>1.9</v>
          </cell>
          <cell r="K2705" t="str">
            <v>Low</v>
          </cell>
          <cell r="AB2705">
            <v>0.79</v>
          </cell>
        </row>
        <row r="2706">
          <cell r="B2706" t="str">
            <v>Gireesh K</v>
          </cell>
          <cell r="I2706" t="str">
            <v>Correct</v>
          </cell>
          <cell r="J2706">
            <v>1.07</v>
          </cell>
          <cell r="K2706" t="str">
            <v>Low</v>
          </cell>
          <cell r="AB2706">
            <v>1</v>
          </cell>
        </row>
        <row r="2707">
          <cell r="B2707" t="str">
            <v>Gireesh K</v>
          </cell>
          <cell r="I2707" t="str">
            <v>Wrong</v>
          </cell>
          <cell r="J2707">
            <v>1.39</v>
          </cell>
          <cell r="K2707" t="str">
            <v>Low</v>
          </cell>
          <cell r="AB2707">
            <v>0</v>
          </cell>
        </row>
        <row r="2708">
          <cell r="B2708" t="str">
            <v>Gireesh K</v>
          </cell>
          <cell r="I2708" t="str">
            <v>Correct</v>
          </cell>
          <cell r="J2708">
            <v>1.94</v>
          </cell>
          <cell r="K2708" t="str">
            <v>Low</v>
          </cell>
          <cell r="AB2708">
            <v>0.77</v>
          </cell>
        </row>
        <row r="2709">
          <cell r="B2709" t="str">
            <v>Gireesh K</v>
          </cell>
          <cell r="I2709" t="str">
            <v>Correct</v>
          </cell>
          <cell r="J2709">
            <v>1.39</v>
          </cell>
          <cell r="K2709" t="str">
            <v>Low</v>
          </cell>
          <cell r="AB2709">
            <v>2</v>
          </cell>
        </row>
        <row r="2710">
          <cell r="B2710" t="str">
            <v>Gireesh K</v>
          </cell>
          <cell r="I2710" t="str">
            <v>Correct</v>
          </cell>
          <cell r="J2710">
            <v>0.93</v>
          </cell>
          <cell r="K2710" t="str">
            <v>Low</v>
          </cell>
          <cell r="AB2710">
            <v>2</v>
          </cell>
        </row>
        <row r="2711">
          <cell r="B2711" t="str">
            <v>Gireesh K</v>
          </cell>
          <cell r="I2711" t="str">
            <v>Correct</v>
          </cell>
          <cell r="J2711">
            <v>2.2400000000000002</v>
          </cell>
          <cell r="K2711" t="str">
            <v>Medium</v>
          </cell>
          <cell r="AB2711">
            <v>1.61</v>
          </cell>
        </row>
        <row r="2712">
          <cell r="B2712" t="str">
            <v>Gireesh K</v>
          </cell>
          <cell r="I2712" t="str">
            <v>Correct</v>
          </cell>
          <cell r="J2712">
            <v>1.1000000000000001</v>
          </cell>
          <cell r="K2712" t="str">
            <v>Medium</v>
          </cell>
          <cell r="AB2712">
            <v>2</v>
          </cell>
        </row>
        <row r="2713">
          <cell r="B2713" t="str">
            <v>Gireesh K</v>
          </cell>
          <cell r="I2713" t="str">
            <v>Correct</v>
          </cell>
          <cell r="J2713">
            <v>1.1200000000000001</v>
          </cell>
          <cell r="K2713" t="str">
            <v>Medium</v>
          </cell>
          <cell r="AB2713">
            <v>2</v>
          </cell>
        </row>
        <row r="2714">
          <cell r="B2714" t="str">
            <v>Gireesh K</v>
          </cell>
          <cell r="I2714" t="str">
            <v>Correct</v>
          </cell>
          <cell r="J2714">
            <v>1.98</v>
          </cell>
          <cell r="K2714" t="str">
            <v>Medium</v>
          </cell>
          <cell r="AB2714">
            <v>1.82</v>
          </cell>
        </row>
        <row r="2715">
          <cell r="B2715" t="str">
            <v>Gireesh K</v>
          </cell>
          <cell r="I2715" t="str">
            <v>Correct</v>
          </cell>
          <cell r="J2715">
            <v>2.17</v>
          </cell>
          <cell r="K2715" t="str">
            <v>Medium</v>
          </cell>
          <cell r="AB2715">
            <v>1.66</v>
          </cell>
        </row>
        <row r="2716">
          <cell r="B2716" t="str">
            <v>Gireesh K</v>
          </cell>
          <cell r="I2716" t="str">
            <v>Wrong</v>
          </cell>
          <cell r="J2716">
            <v>1.39</v>
          </cell>
          <cell r="K2716" t="str">
            <v>Medium</v>
          </cell>
          <cell r="AB2716">
            <v>0</v>
          </cell>
        </row>
        <row r="2717">
          <cell r="B2717" t="str">
            <v>Gireesh K</v>
          </cell>
          <cell r="I2717" t="str">
            <v>Correct</v>
          </cell>
          <cell r="J2717">
            <v>1.23</v>
          </cell>
          <cell r="K2717" t="str">
            <v>High</v>
          </cell>
          <cell r="AB2717">
            <v>3</v>
          </cell>
        </row>
        <row r="2718">
          <cell r="B2718" t="str">
            <v>Gireesh K</v>
          </cell>
          <cell r="I2718" t="str">
            <v>Correct</v>
          </cell>
          <cell r="J2718">
            <v>2.6</v>
          </cell>
          <cell r="K2718" t="str">
            <v>High</v>
          </cell>
          <cell r="AB2718">
            <v>2.31</v>
          </cell>
        </row>
        <row r="2719">
          <cell r="B2719" t="str">
            <v>Gireesh K</v>
          </cell>
          <cell r="I2719" t="str">
            <v>Correct</v>
          </cell>
          <cell r="J2719">
            <v>1.79</v>
          </cell>
          <cell r="K2719" t="str">
            <v>High</v>
          </cell>
          <cell r="AB2719">
            <v>3</v>
          </cell>
        </row>
        <row r="2720">
          <cell r="B2720" t="str">
            <v>Gireesh K</v>
          </cell>
          <cell r="I2720" t="str">
            <v>Correct</v>
          </cell>
          <cell r="J2720">
            <v>1.89</v>
          </cell>
          <cell r="K2720" t="str">
            <v>High</v>
          </cell>
          <cell r="AB2720">
            <v>3</v>
          </cell>
        </row>
        <row r="2721">
          <cell r="B2721" t="str">
            <v>Gireesh K</v>
          </cell>
          <cell r="I2721" t="str">
            <v>Wrong</v>
          </cell>
          <cell r="J2721">
            <v>2.13</v>
          </cell>
          <cell r="K2721" t="str">
            <v>High</v>
          </cell>
          <cell r="AB2721">
            <v>0</v>
          </cell>
        </row>
        <row r="2722">
          <cell r="B2722" t="str">
            <v>Harini S</v>
          </cell>
          <cell r="I2722" t="str">
            <v>Correct</v>
          </cell>
          <cell r="J2722">
            <v>0.92</v>
          </cell>
          <cell r="K2722" t="str">
            <v>Low</v>
          </cell>
          <cell r="AB2722">
            <v>2</v>
          </cell>
        </row>
        <row r="2723">
          <cell r="B2723" t="str">
            <v>Harini S</v>
          </cell>
          <cell r="I2723" t="str">
            <v>Correct</v>
          </cell>
          <cell r="J2723">
            <v>1.39</v>
          </cell>
          <cell r="K2723" t="str">
            <v>Low</v>
          </cell>
          <cell r="AB2723">
            <v>1</v>
          </cell>
        </row>
        <row r="2724">
          <cell r="B2724" t="str">
            <v>Harini S</v>
          </cell>
          <cell r="I2724" t="str">
            <v>Correct</v>
          </cell>
          <cell r="J2724">
            <v>1.1000000000000001</v>
          </cell>
          <cell r="K2724" t="str">
            <v>Low</v>
          </cell>
          <cell r="AB2724">
            <v>2</v>
          </cell>
        </row>
        <row r="2725">
          <cell r="B2725" t="str">
            <v>Harini S</v>
          </cell>
          <cell r="I2725" t="str">
            <v>Correct</v>
          </cell>
          <cell r="J2725">
            <v>1.23</v>
          </cell>
          <cell r="K2725" t="str">
            <v>Low</v>
          </cell>
          <cell r="AB2725">
            <v>1</v>
          </cell>
        </row>
        <row r="2726">
          <cell r="B2726" t="str">
            <v>Harini S</v>
          </cell>
          <cell r="I2726" t="str">
            <v>Correct</v>
          </cell>
          <cell r="J2726">
            <v>0.93</v>
          </cell>
          <cell r="K2726" t="str">
            <v>Low</v>
          </cell>
          <cell r="AB2726">
            <v>1</v>
          </cell>
        </row>
        <row r="2727">
          <cell r="B2727" t="str">
            <v>Harini S</v>
          </cell>
          <cell r="I2727" t="str">
            <v>Correct</v>
          </cell>
          <cell r="J2727">
            <v>1.08</v>
          </cell>
          <cell r="K2727" t="str">
            <v>Low</v>
          </cell>
          <cell r="AB2727">
            <v>2</v>
          </cell>
        </row>
        <row r="2728">
          <cell r="B2728" t="str">
            <v>Harini S</v>
          </cell>
          <cell r="I2728" t="str">
            <v>Wrong</v>
          </cell>
          <cell r="J2728">
            <v>1.6</v>
          </cell>
          <cell r="K2728" t="str">
            <v>Low</v>
          </cell>
          <cell r="AB2728">
            <v>0</v>
          </cell>
        </row>
        <row r="2729">
          <cell r="B2729" t="str">
            <v>Harini S</v>
          </cell>
          <cell r="I2729" t="str">
            <v>Correct</v>
          </cell>
          <cell r="J2729">
            <v>1.6</v>
          </cell>
          <cell r="K2729" t="str">
            <v>Low</v>
          </cell>
          <cell r="AB2729">
            <v>1.88</v>
          </cell>
        </row>
        <row r="2730">
          <cell r="B2730" t="str">
            <v>Harini S</v>
          </cell>
          <cell r="I2730" t="str">
            <v>Correct</v>
          </cell>
          <cell r="J2730">
            <v>1.65</v>
          </cell>
          <cell r="K2730" t="str">
            <v>Low</v>
          </cell>
          <cell r="AB2730">
            <v>1.82</v>
          </cell>
        </row>
        <row r="2731">
          <cell r="B2731" t="str">
            <v>Harini S</v>
          </cell>
          <cell r="I2731" t="str">
            <v>Wrong</v>
          </cell>
          <cell r="J2731">
            <v>1.17</v>
          </cell>
          <cell r="K2731" t="str">
            <v>Medium</v>
          </cell>
          <cell r="AB2731">
            <v>0</v>
          </cell>
        </row>
        <row r="2732">
          <cell r="B2732" t="str">
            <v>Harini S</v>
          </cell>
          <cell r="I2732" t="str">
            <v>Wrong</v>
          </cell>
          <cell r="J2732">
            <v>2.0099999999999998</v>
          </cell>
          <cell r="K2732" t="str">
            <v>Medium</v>
          </cell>
          <cell r="AB2732">
            <v>0</v>
          </cell>
        </row>
        <row r="2733">
          <cell r="B2733" t="str">
            <v>Harini S</v>
          </cell>
          <cell r="I2733" t="str">
            <v>Correct</v>
          </cell>
          <cell r="J2733">
            <v>1.52</v>
          </cell>
          <cell r="K2733" t="str">
            <v>Medium</v>
          </cell>
          <cell r="AB2733">
            <v>2</v>
          </cell>
        </row>
        <row r="2734">
          <cell r="B2734" t="str">
            <v>Harini S</v>
          </cell>
          <cell r="I2734" t="str">
            <v>Correct</v>
          </cell>
          <cell r="J2734">
            <v>2.23</v>
          </cell>
          <cell r="K2734" t="str">
            <v>Medium</v>
          </cell>
          <cell r="AB2734">
            <v>1.61</v>
          </cell>
        </row>
        <row r="2735">
          <cell r="B2735" t="str">
            <v>Harini S</v>
          </cell>
          <cell r="I2735" t="str">
            <v>Correct</v>
          </cell>
          <cell r="J2735">
            <v>1.91</v>
          </cell>
          <cell r="K2735" t="str">
            <v>Medium</v>
          </cell>
          <cell r="AB2735">
            <v>1.88</v>
          </cell>
        </row>
        <row r="2736">
          <cell r="B2736" t="str">
            <v>Harini S</v>
          </cell>
          <cell r="I2736" t="str">
            <v>Correct</v>
          </cell>
          <cell r="J2736">
            <v>1.45</v>
          </cell>
          <cell r="K2736" t="str">
            <v>Medium</v>
          </cell>
          <cell r="AB2736">
            <v>2</v>
          </cell>
        </row>
        <row r="2737">
          <cell r="B2737" t="str">
            <v>Harini S</v>
          </cell>
          <cell r="I2737" t="str">
            <v>Wrong</v>
          </cell>
          <cell r="J2737">
            <v>2.14</v>
          </cell>
          <cell r="K2737" t="str">
            <v>High</v>
          </cell>
          <cell r="AB2737">
            <v>0</v>
          </cell>
        </row>
        <row r="2738">
          <cell r="B2738" t="str">
            <v>Harini S</v>
          </cell>
          <cell r="I2738" t="str">
            <v>Correct</v>
          </cell>
          <cell r="J2738">
            <v>1.69</v>
          </cell>
          <cell r="K2738" t="str">
            <v>High</v>
          </cell>
          <cell r="AB2738">
            <v>3</v>
          </cell>
        </row>
        <row r="2739">
          <cell r="B2739" t="str">
            <v>Harini S</v>
          </cell>
          <cell r="I2739" t="str">
            <v>Wrong</v>
          </cell>
          <cell r="J2739">
            <v>2.0099999999999998</v>
          </cell>
          <cell r="K2739" t="str">
            <v>High</v>
          </cell>
          <cell r="AB2739">
            <v>0</v>
          </cell>
        </row>
        <row r="2740">
          <cell r="B2740" t="str">
            <v>Harini S</v>
          </cell>
          <cell r="I2740" t="str">
            <v>Wrong</v>
          </cell>
          <cell r="J2740">
            <v>2.35</v>
          </cell>
          <cell r="K2740" t="str">
            <v>High</v>
          </cell>
          <cell r="AB2740">
            <v>0</v>
          </cell>
        </row>
        <row r="2741">
          <cell r="B2741" t="str">
            <v>Harini S</v>
          </cell>
          <cell r="I2741" t="str">
            <v>Wrong</v>
          </cell>
          <cell r="J2741">
            <v>1.83</v>
          </cell>
          <cell r="K2741" t="str">
            <v>High</v>
          </cell>
          <cell r="AB2741">
            <v>0</v>
          </cell>
        </row>
        <row r="2742">
          <cell r="B2742" t="str">
            <v>Inbaraj M</v>
          </cell>
          <cell r="I2742" t="str">
            <v>Correct</v>
          </cell>
          <cell r="J2742">
            <v>1.99</v>
          </cell>
          <cell r="K2742" t="str">
            <v>Low</v>
          </cell>
          <cell r="AB2742">
            <v>1.51</v>
          </cell>
        </row>
        <row r="2743">
          <cell r="B2743" t="str">
            <v>Inbaraj M</v>
          </cell>
          <cell r="I2743" t="str">
            <v>Wrong</v>
          </cell>
          <cell r="J2743">
            <v>1.23</v>
          </cell>
          <cell r="K2743" t="str">
            <v>Low</v>
          </cell>
          <cell r="AB2743">
            <v>0</v>
          </cell>
        </row>
        <row r="2744">
          <cell r="B2744" t="str">
            <v>Inbaraj M</v>
          </cell>
          <cell r="I2744" t="str">
            <v>Correct</v>
          </cell>
          <cell r="J2744">
            <v>1.7</v>
          </cell>
          <cell r="K2744" t="str">
            <v>Low</v>
          </cell>
          <cell r="AB2744">
            <v>1.76</v>
          </cell>
        </row>
        <row r="2745">
          <cell r="B2745" t="str">
            <v>Inbaraj M</v>
          </cell>
          <cell r="I2745" t="str">
            <v>Correct</v>
          </cell>
          <cell r="J2745">
            <v>0.98</v>
          </cell>
          <cell r="K2745" t="str">
            <v>Low</v>
          </cell>
          <cell r="AB2745">
            <v>1</v>
          </cell>
        </row>
        <row r="2746">
          <cell r="B2746" t="str">
            <v>Inbaraj M</v>
          </cell>
          <cell r="I2746" t="str">
            <v>Correct</v>
          </cell>
          <cell r="J2746">
            <v>1.48</v>
          </cell>
          <cell r="K2746" t="str">
            <v>Low</v>
          </cell>
          <cell r="AB2746">
            <v>1</v>
          </cell>
        </row>
        <row r="2747">
          <cell r="B2747" t="str">
            <v>Inbaraj M</v>
          </cell>
          <cell r="I2747" t="str">
            <v>Correct</v>
          </cell>
          <cell r="J2747">
            <v>1.08</v>
          </cell>
          <cell r="K2747" t="str">
            <v>Low</v>
          </cell>
          <cell r="AB2747">
            <v>2</v>
          </cell>
        </row>
        <row r="2748">
          <cell r="B2748" t="str">
            <v>Inbaraj M</v>
          </cell>
          <cell r="I2748" t="str">
            <v>Correct</v>
          </cell>
          <cell r="J2748">
            <v>1.08</v>
          </cell>
          <cell r="K2748" t="str">
            <v>Low</v>
          </cell>
          <cell r="AB2748">
            <v>1</v>
          </cell>
        </row>
        <row r="2749">
          <cell r="B2749" t="str">
            <v>Inbaraj M</v>
          </cell>
          <cell r="I2749" t="str">
            <v>Correct</v>
          </cell>
          <cell r="J2749">
            <v>1.63</v>
          </cell>
          <cell r="K2749" t="str">
            <v>Low</v>
          </cell>
          <cell r="AB2749">
            <v>1.84</v>
          </cell>
        </row>
        <row r="2750">
          <cell r="B2750" t="str">
            <v>Inbaraj M</v>
          </cell>
          <cell r="I2750" t="str">
            <v>Correct</v>
          </cell>
          <cell r="J2750">
            <v>1.71</v>
          </cell>
          <cell r="K2750" t="str">
            <v>Low</v>
          </cell>
          <cell r="AB2750">
            <v>1.75</v>
          </cell>
        </row>
        <row r="2751">
          <cell r="B2751" t="str">
            <v>Inbaraj M</v>
          </cell>
          <cell r="I2751" t="str">
            <v>Wrong</v>
          </cell>
          <cell r="J2751">
            <v>1.71</v>
          </cell>
          <cell r="K2751" t="str">
            <v>Medium</v>
          </cell>
          <cell r="AB2751">
            <v>0</v>
          </cell>
        </row>
        <row r="2752">
          <cell r="B2752" t="str">
            <v>Inbaraj M</v>
          </cell>
          <cell r="I2752" t="str">
            <v>Correct</v>
          </cell>
          <cell r="J2752">
            <v>1.91</v>
          </cell>
          <cell r="K2752" t="str">
            <v>Medium</v>
          </cell>
          <cell r="AB2752">
            <v>1.88</v>
          </cell>
        </row>
        <row r="2753">
          <cell r="B2753" t="str">
            <v>Inbaraj M</v>
          </cell>
          <cell r="I2753" t="str">
            <v>Correct</v>
          </cell>
          <cell r="J2753">
            <v>1.53</v>
          </cell>
          <cell r="K2753" t="str">
            <v>Medium</v>
          </cell>
          <cell r="AB2753">
            <v>2</v>
          </cell>
        </row>
        <row r="2754">
          <cell r="B2754" t="str">
            <v>Inbaraj M</v>
          </cell>
          <cell r="I2754" t="str">
            <v>Correct</v>
          </cell>
          <cell r="J2754">
            <v>2.2000000000000002</v>
          </cell>
          <cell r="K2754" t="str">
            <v>Medium</v>
          </cell>
          <cell r="AB2754">
            <v>1.64</v>
          </cell>
        </row>
        <row r="2755">
          <cell r="B2755" t="str">
            <v>Inbaraj M</v>
          </cell>
          <cell r="I2755" t="str">
            <v>Wrong</v>
          </cell>
          <cell r="J2755">
            <v>1.1599999999999999</v>
          </cell>
          <cell r="K2755" t="str">
            <v>Medium</v>
          </cell>
          <cell r="AB2755">
            <v>0</v>
          </cell>
        </row>
        <row r="2756">
          <cell r="B2756" t="str">
            <v>Inbaraj M</v>
          </cell>
          <cell r="I2756" t="str">
            <v>Correct</v>
          </cell>
          <cell r="J2756">
            <v>2.08</v>
          </cell>
          <cell r="K2756" t="str">
            <v>Medium</v>
          </cell>
          <cell r="AB2756">
            <v>1.73</v>
          </cell>
        </row>
        <row r="2757">
          <cell r="B2757" t="str">
            <v>Inbaraj M</v>
          </cell>
          <cell r="I2757" t="str">
            <v>Wrong</v>
          </cell>
          <cell r="J2757">
            <v>2.02</v>
          </cell>
          <cell r="K2757" t="str">
            <v>High</v>
          </cell>
          <cell r="AB2757">
            <v>0</v>
          </cell>
        </row>
        <row r="2758">
          <cell r="B2758" t="str">
            <v>Inbaraj M</v>
          </cell>
          <cell r="I2758" t="str">
            <v>Correct</v>
          </cell>
          <cell r="J2758">
            <v>2.4</v>
          </cell>
          <cell r="K2758" t="str">
            <v>High</v>
          </cell>
          <cell r="AB2758">
            <v>2.5</v>
          </cell>
        </row>
        <row r="2759">
          <cell r="B2759" t="str">
            <v>Inbaraj M</v>
          </cell>
          <cell r="I2759" t="str">
            <v>Correct</v>
          </cell>
          <cell r="J2759">
            <v>2.41</v>
          </cell>
          <cell r="K2759" t="str">
            <v>High</v>
          </cell>
          <cell r="AB2759">
            <v>2.4900000000000002</v>
          </cell>
        </row>
        <row r="2760">
          <cell r="B2760" t="str">
            <v>Inbaraj M</v>
          </cell>
          <cell r="I2760" t="str">
            <v>Correct</v>
          </cell>
          <cell r="J2760">
            <v>1.99</v>
          </cell>
          <cell r="K2760" t="str">
            <v>High</v>
          </cell>
          <cell r="AB2760">
            <v>3</v>
          </cell>
        </row>
        <row r="2761">
          <cell r="B2761" t="str">
            <v>Inbaraj M</v>
          </cell>
          <cell r="I2761" t="str">
            <v>Wrong</v>
          </cell>
          <cell r="J2761">
            <v>2.2200000000000002</v>
          </cell>
          <cell r="K2761" t="str">
            <v>High</v>
          </cell>
          <cell r="AB2761">
            <v>0</v>
          </cell>
        </row>
        <row r="2762">
          <cell r="B2762" t="str">
            <v>Jeeva Kumar</v>
          </cell>
          <cell r="I2762" t="str">
            <v>Correct</v>
          </cell>
          <cell r="J2762">
            <v>1</v>
          </cell>
          <cell r="K2762" t="str">
            <v>Low</v>
          </cell>
          <cell r="AB2762">
            <v>2</v>
          </cell>
        </row>
        <row r="2763">
          <cell r="B2763" t="str">
            <v>Jeeva Kumar</v>
          </cell>
          <cell r="I2763" t="str">
            <v>Correct</v>
          </cell>
          <cell r="J2763">
            <v>1.5</v>
          </cell>
          <cell r="K2763" t="str">
            <v>Low</v>
          </cell>
          <cell r="AB2763">
            <v>1</v>
          </cell>
        </row>
        <row r="2764">
          <cell r="B2764" t="str">
            <v>Jeeva Kumar</v>
          </cell>
          <cell r="I2764" t="str">
            <v>Correct</v>
          </cell>
          <cell r="J2764">
            <v>1.2</v>
          </cell>
          <cell r="K2764" t="str">
            <v>Low</v>
          </cell>
          <cell r="AB2764">
            <v>2</v>
          </cell>
        </row>
        <row r="2765">
          <cell r="B2765" t="str">
            <v>Jeeva Kumar</v>
          </cell>
          <cell r="I2765" t="str">
            <v>Correct</v>
          </cell>
          <cell r="J2765">
            <v>1.68</v>
          </cell>
          <cell r="K2765" t="str">
            <v>Low</v>
          </cell>
          <cell r="AB2765">
            <v>0.89</v>
          </cell>
        </row>
        <row r="2766">
          <cell r="B2766" t="str">
            <v>Jeeva Kumar</v>
          </cell>
          <cell r="I2766" t="str">
            <v>Correct</v>
          </cell>
          <cell r="J2766">
            <v>0.97</v>
          </cell>
          <cell r="K2766" t="str">
            <v>Low</v>
          </cell>
          <cell r="AB2766">
            <v>1</v>
          </cell>
        </row>
        <row r="2767">
          <cell r="B2767" t="str">
            <v>Jeeva Kumar</v>
          </cell>
          <cell r="I2767" t="str">
            <v>Correct</v>
          </cell>
          <cell r="J2767">
            <v>1.28</v>
          </cell>
          <cell r="K2767" t="str">
            <v>Low</v>
          </cell>
          <cell r="AB2767">
            <v>2</v>
          </cell>
        </row>
        <row r="2768">
          <cell r="B2768" t="str">
            <v>Jeeva Kumar</v>
          </cell>
          <cell r="I2768" t="str">
            <v>Correct</v>
          </cell>
          <cell r="J2768">
            <v>1.52</v>
          </cell>
          <cell r="K2768" t="str">
            <v>Low</v>
          </cell>
          <cell r="AB2768">
            <v>0.99</v>
          </cell>
        </row>
        <row r="2769">
          <cell r="B2769" t="str">
            <v>Jeeva Kumar</v>
          </cell>
          <cell r="I2769" t="str">
            <v>Wrong</v>
          </cell>
          <cell r="J2769">
            <v>1.76</v>
          </cell>
          <cell r="K2769" t="str">
            <v>Low</v>
          </cell>
          <cell r="AB2769">
            <v>0</v>
          </cell>
        </row>
        <row r="2770">
          <cell r="B2770" t="str">
            <v>Jeeva Kumar</v>
          </cell>
          <cell r="I2770" t="str">
            <v>Correct</v>
          </cell>
          <cell r="J2770">
            <v>1.51</v>
          </cell>
          <cell r="K2770" t="str">
            <v>Low</v>
          </cell>
          <cell r="AB2770">
            <v>1.99</v>
          </cell>
        </row>
        <row r="2771">
          <cell r="B2771" t="str">
            <v>Jeeva Kumar</v>
          </cell>
          <cell r="I2771" t="str">
            <v>Correct</v>
          </cell>
          <cell r="J2771">
            <v>2.2599999999999998</v>
          </cell>
          <cell r="K2771" t="str">
            <v>Medium</v>
          </cell>
          <cell r="AB2771">
            <v>1.59</v>
          </cell>
        </row>
        <row r="2772">
          <cell r="B2772" t="str">
            <v>Jeeva Kumar</v>
          </cell>
          <cell r="I2772" t="str">
            <v>Correct</v>
          </cell>
          <cell r="J2772">
            <v>2.1</v>
          </cell>
          <cell r="K2772" t="str">
            <v>Medium</v>
          </cell>
          <cell r="AB2772">
            <v>1.71</v>
          </cell>
        </row>
        <row r="2773">
          <cell r="B2773" t="str">
            <v>Jeeva Kumar</v>
          </cell>
          <cell r="I2773" t="str">
            <v>Correct</v>
          </cell>
          <cell r="J2773">
            <v>1.77</v>
          </cell>
          <cell r="K2773" t="str">
            <v>Medium</v>
          </cell>
          <cell r="AB2773">
            <v>2</v>
          </cell>
        </row>
        <row r="2774">
          <cell r="B2774" t="str">
            <v>Jeeva Kumar</v>
          </cell>
          <cell r="I2774" t="str">
            <v>Wrong</v>
          </cell>
          <cell r="J2774">
            <v>1.93</v>
          </cell>
          <cell r="K2774" t="str">
            <v>Medium</v>
          </cell>
          <cell r="AB2774">
            <v>0</v>
          </cell>
        </row>
        <row r="2775">
          <cell r="B2775" t="str">
            <v>Jeeva Kumar</v>
          </cell>
          <cell r="I2775" t="str">
            <v>Correct</v>
          </cell>
          <cell r="J2775">
            <v>1.75</v>
          </cell>
          <cell r="K2775" t="str">
            <v>Medium</v>
          </cell>
          <cell r="AB2775">
            <v>2</v>
          </cell>
        </row>
        <row r="2776">
          <cell r="B2776" t="str">
            <v>Jeeva Kumar</v>
          </cell>
          <cell r="I2776" t="str">
            <v>Correct</v>
          </cell>
          <cell r="J2776">
            <v>1.88</v>
          </cell>
          <cell r="K2776" t="str">
            <v>Medium</v>
          </cell>
          <cell r="AB2776">
            <v>1.91</v>
          </cell>
        </row>
        <row r="2777">
          <cell r="B2777" t="str">
            <v>Jeeva Kumar</v>
          </cell>
          <cell r="I2777" t="str">
            <v>Wrong</v>
          </cell>
          <cell r="J2777">
            <v>2.34</v>
          </cell>
          <cell r="K2777" t="str">
            <v>High</v>
          </cell>
          <cell r="AB2777">
            <v>0</v>
          </cell>
        </row>
        <row r="2778">
          <cell r="B2778" t="str">
            <v>Jeeva Kumar</v>
          </cell>
          <cell r="I2778" t="str">
            <v>Correct</v>
          </cell>
          <cell r="J2778">
            <v>1.91</v>
          </cell>
          <cell r="K2778" t="str">
            <v>High</v>
          </cell>
          <cell r="AB2778">
            <v>3</v>
          </cell>
        </row>
        <row r="2779">
          <cell r="B2779" t="str">
            <v>Jeeva Kumar</v>
          </cell>
          <cell r="I2779" t="str">
            <v>Correct</v>
          </cell>
          <cell r="J2779">
            <v>2.5</v>
          </cell>
          <cell r="K2779" t="str">
            <v>High</v>
          </cell>
          <cell r="AB2779">
            <v>2.4</v>
          </cell>
        </row>
        <row r="2780">
          <cell r="B2780" t="str">
            <v>Jeeva Kumar</v>
          </cell>
          <cell r="I2780" t="str">
            <v>Wrong</v>
          </cell>
          <cell r="J2780">
            <v>2.48</v>
          </cell>
          <cell r="K2780" t="str">
            <v>High</v>
          </cell>
          <cell r="AB2780">
            <v>0</v>
          </cell>
        </row>
        <row r="2781">
          <cell r="B2781" t="str">
            <v>Jeeva Kumar</v>
          </cell>
          <cell r="I2781" t="str">
            <v>Wrong</v>
          </cell>
          <cell r="J2781">
            <v>1.46</v>
          </cell>
          <cell r="K2781" t="str">
            <v>High</v>
          </cell>
          <cell r="AB2781">
            <v>0</v>
          </cell>
        </row>
        <row r="2782">
          <cell r="B2782" t="str">
            <v>Kishore Raj</v>
          </cell>
          <cell r="I2782" t="str">
            <v>Correct</v>
          </cell>
          <cell r="J2782">
            <v>1.52</v>
          </cell>
          <cell r="K2782" t="str">
            <v>Low</v>
          </cell>
          <cell r="AB2782">
            <v>1.97</v>
          </cell>
        </row>
        <row r="2783">
          <cell r="B2783" t="str">
            <v>Kishore Raj</v>
          </cell>
          <cell r="I2783" t="str">
            <v>Wrong</v>
          </cell>
          <cell r="J2783">
            <v>1.07</v>
          </cell>
          <cell r="K2783" t="str">
            <v>Low</v>
          </cell>
          <cell r="AB2783">
            <v>0</v>
          </cell>
        </row>
        <row r="2784">
          <cell r="B2784" t="str">
            <v>Kishore Raj</v>
          </cell>
          <cell r="I2784" t="str">
            <v>Correct</v>
          </cell>
          <cell r="J2784">
            <v>1.08</v>
          </cell>
          <cell r="K2784" t="str">
            <v>Low</v>
          </cell>
          <cell r="AB2784">
            <v>2</v>
          </cell>
        </row>
        <row r="2785">
          <cell r="B2785" t="str">
            <v>Kishore Raj</v>
          </cell>
          <cell r="I2785" t="str">
            <v>Correct</v>
          </cell>
          <cell r="J2785">
            <v>0.91</v>
          </cell>
          <cell r="K2785" t="str">
            <v>Low</v>
          </cell>
          <cell r="AB2785">
            <v>1</v>
          </cell>
        </row>
        <row r="2786">
          <cell r="B2786" t="str">
            <v>Kishore Raj</v>
          </cell>
          <cell r="I2786" t="str">
            <v>Correct</v>
          </cell>
          <cell r="J2786">
            <v>1.42</v>
          </cell>
          <cell r="K2786" t="str">
            <v>Low</v>
          </cell>
          <cell r="AB2786">
            <v>1</v>
          </cell>
        </row>
        <row r="2787">
          <cell r="B2787" t="str">
            <v>Kishore Raj</v>
          </cell>
          <cell r="I2787" t="str">
            <v>Correct</v>
          </cell>
          <cell r="J2787">
            <v>0.92</v>
          </cell>
          <cell r="K2787" t="str">
            <v>Low</v>
          </cell>
          <cell r="AB2787">
            <v>2</v>
          </cell>
        </row>
        <row r="2788">
          <cell r="B2788" t="str">
            <v>Kishore Raj</v>
          </cell>
          <cell r="I2788" t="str">
            <v>Correct</v>
          </cell>
          <cell r="J2788">
            <v>1.31</v>
          </cell>
          <cell r="K2788" t="str">
            <v>Low</v>
          </cell>
          <cell r="AB2788">
            <v>1</v>
          </cell>
        </row>
        <row r="2789">
          <cell r="B2789" t="str">
            <v>Kishore Raj</v>
          </cell>
          <cell r="I2789" t="str">
            <v>Correct</v>
          </cell>
          <cell r="J2789">
            <v>1.92</v>
          </cell>
          <cell r="K2789" t="str">
            <v>Low</v>
          </cell>
          <cell r="AB2789">
            <v>1.56</v>
          </cell>
        </row>
        <row r="2790">
          <cell r="B2790" t="str">
            <v>Kishore Raj</v>
          </cell>
          <cell r="I2790" t="str">
            <v>Correct</v>
          </cell>
          <cell r="J2790">
            <v>1.8</v>
          </cell>
          <cell r="K2790" t="str">
            <v>Low</v>
          </cell>
          <cell r="AB2790">
            <v>1.67</v>
          </cell>
        </row>
        <row r="2791">
          <cell r="B2791" t="str">
            <v>Kishore Raj</v>
          </cell>
          <cell r="I2791" t="str">
            <v>Wrong</v>
          </cell>
          <cell r="J2791">
            <v>1.91</v>
          </cell>
          <cell r="K2791" t="str">
            <v>Medium</v>
          </cell>
          <cell r="AB2791">
            <v>0</v>
          </cell>
        </row>
        <row r="2792">
          <cell r="B2792" t="str">
            <v>Kishore Raj</v>
          </cell>
          <cell r="I2792" t="str">
            <v>Correct</v>
          </cell>
          <cell r="J2792">
            <v>1.31</v>
          </cell>
          <cell r="K2792" t="str">
            <v>Medium</v>
          </cell>
          <cell r="AB2792">
            <v>2</v>
          </cell>
        </row>
        <row r="2793">
          <cell r="B2793" t="str">
            <v>Kishore Raj</v>
          </cell>
          <cell r="I2793" t="str">
            <v>Correct</v>
          </cell>
          <cell r="J2793">
            <v>1.1000000000000001</v>
          </cell>
          <cell r="K2793" t="str">
            <v>Medium</v>
          </cell>
          <cell r="AB2793">
            <v>2</v>
          </cell>
        </row>
        <row r="2794">
          <cell r="B2794" t="str">
            <v>Kishore Raj</v>
          </cell>
          <cell r="I2794" t="str">
            <v>Correct</v>
          </cell>
          <cell r="J2794">
            <v>2.2000000000000002</v>
          </cell>
          <cell r="K2794" t="str">
            <v>Medium</v>
          </cell>
          <cell r="AB2794">
            <v>1.64</v>
          </cell>
        </row>
        <row r="2795">
          <cell r="B2795" t="str">
            <v>Kishore Raj</v>
          </cell>
          <cell r="I2795" t="str">
            <v>Wrong</v>
          </cell>
          <cell r="J2795">
            <v>2.2200000000000002</v>
          </cell>
          <cell r="K2795" t="str">
            <v>Medium</v>
          </cell>
          <cell r="AB2795">
            <v>0</v>
          </cell>
        </row>
        <row r="2796">
          <cell r="B2796" t="str">
            <v>Kishore Raj</v>
          </cell>
          <cell r="I2796" t="str">
            <v>Correct</v>
          </cell>
          <cell r="J2796">
            <v>2.13</v>
          </cell>
          <cell r="K2796" t="str">
            <v>Medium</v>
          </cell>
          <cell r="AB2796">
            <v>1.69</v>
          </cell>
        </row>
        <row r="2797">
          <cell r="B2797" t="str">
            <v>Kishore Raj</v>
          </cell>
          <cell r="I2797" t="str">
            <v>Correct</v>
          </cell>
          <cell r="J2797">
            <v>2.2599999999999998</v>
          </cell>
          <cell r="K2797" t="str">
            <v>High</v>
          </cell>
          <cell r="AB2797">
            <v>2.66</v>
          </cell>
        </row>
        <row r="2798">
          <cell r="B2798" t="str">
            <v>Kishore Raj</v>
          </cell>
          <cell r="I2798" t="str">
            <v>Correct</v>
          </cell>
          <cell r="J2798">
            <v>1.41</v>
          </cell>
          <cell r="K2798" t="str">
            <v>High</v>
          </cell>
          <cell r="AB2798">
            <v>3</v>
          </cell>
        </row>
        <row r="2799">
          <cell r="B2799" t="str">
            <v>Kishore Raj</v>
          </cell>
          <cell r="I2799" t="str">
            <v>Correct</v>
          </cell>
          <cell r="J2799">
            <v>2.57</v>
          </cell>
          <cell r="K2799" t="str">
            <v>High</v>
          </cell>
          <cell r="AB2799">
            <v>2.33</v>
          </cell>
        </row>
        <row r="2800">
          <cell r="B2800" t="str">
            <v>Kishore Raj</v>
          </cell>
          <cell r="I2800" t="str">
            <v>Wrong</v>
          </cell>
          <cell r="J2800">
            <v>1.89</v>
          </cell>
          <cell r="K2800" t="str">
            <v>High</v>
          </cell>
          <cell r="AB2800">
            <v>0</v>
          </cell>
        </row>
        <row r="2801">
          <cell r="B2801" t="str">
            <v>Kishore Raj</v>
          </cell>
          <cell r="I2801" t="str">
            <v>Wrong</v>
          </cell>
          <cell r="J2801">
            <v>2.14</v>
          </cell>
          <cell r="K2801" t="str">
            <v>High</v>
          </cell>
          <cell r="AB2801">
            <v>0</v>
          </cell>
        </row>
        <row r="2802">
          <cell r="B2802" t="str">
            <v>Lalitha Devi</v>
          </cell>
          <cell r="I2802" t="str">
            <v>Wrong</v>
          </cell>
          <cell r="J2802">
            <v>1.76</v>
          </cell>
          <cell r="K2802" t="str">
            <v>Low</v>
          </cell>
          <cell r="AB2802">
            <v>0</v>
          </cell>
        </row>
        <row r="2803">
          <cell r="B2803" t="str">
            <v>Lalitha Devi</v>
          </cell>
          <cell r="I2803" t="str">
            <v>Wrong</v>
          </cell>
          <cell r="J2803">
            <v>1.46</v>
          </cell>
          <cell r="K2803" t="str">
            <v>Low</v>
          </cell>
          <cell r="AB2803">
            <v>0</v>
          </cell>
        </row>
        <row r="2804">
          <cell r="B2804" t="str">
            <v>Lalitha Devi</v>
          </cell>
          <cell r="I2804" t="str">
            <v>Correct</v>
          </cell>
          <cell r="J2804">
            <v>0.94</v>
          </cell>
          <cell r="K2804" t="str">
            <v>Low</v>
          </cell>
          <cell r="AB2804">
            <v>2</v>
          </cell>
        </row>
        <row r="2805">
          <cell r="B2805" t="str">
            <v>Lalitha Devi</v>
          </cell>
          <cell r="I2805" t="str">
            <v>Correct</v>
          </cell>
          <cell r="J2805">
            <v>1.64</v>
          </cell>
          <cell r="K2805" t="str">
            <v>Low</v>
          </cell>
          <cell r="AB2805">
            <v>0.92</v>
          </cell>
        </row>
        <row r="2806">
          <cell r="B2806" t="str">
            <v>Lalitha Devi</v>
          </cell>
          <cell r="I2806" t="str">
            <v>Correct</v>
          </cell>
          <cell r="J2806">
            <v>1.1100000000000001</v>
          </cell>
          <cell r="K2806" t="str">
            <v>Low</v>
          </cell>
          <cell r="AB2806">
            <v>1</v>
          </cell>
        </row>
        <row r="2807">
          <cell r="B2807" t="str">
            <v>Lalitha Devi</v>
          </cell>
          <cell r="I2807" t="str">
            <v>Correct</v>
          </cell>
          <cell r="J2807">
            <v>1.5</v>
          </cell>
          <cell r="K2807" t="str">
            <v>Low</v>
          </cell>
          <cell r="AB2807">
            <v>2</v>
          </cell>
        </row>
        <row r="2808">
          <cell r="B2808" t="str">
            <v>Lalitha Devi</v>
          </cell>
          <cell r="I2808" t="str">
            <v>Correct</v>
          </cell>
          <cell r="J2808">
            <v>1.0900000000000001</v>
          </cell>
          <cell r="K2808" t="str">
            <v>Low</v>
          </cell>
          <cell r="AB2808">
            <v>1</v>
          </cell>
        </row>
        <row r="2809">
          <cell r="B2809" t="str">
            <v>Lalitha Devi</v>
          </cell>
          <cell r="I2809" t="str">
            <v>Wrong</v>
          </cell>
          <cell r="J2809">
            <v>1.96</v>
          </cell>
          <cell r="K2809" t="str">
            <v>Low</v>
          </cell>
          <cell r="AB2809">
            <v>0</v>
          </cell>
        </row>
        <row r="2810">
          <cell r="B2810" t="str">
            <v>Lalitha Devi</v>
          </cell>
          <cell r="I2810" t="str">
            <v>Correct</v>
          </cell>
          <cell r="J2810">
            <v>0.98</v>
          </cell>
          <cell r="K2810" t="str">
            <v>Low</v>
          </cell>
          <cell r="AB2810">
            <v>2</v>
          </cell>
        </row>
        <row r="2811">
          <cell r="B2811" t="str">
            <v>Lalitha Devi</v>
          </cell>
          <cell r="I2811" t="str">
            <v>Correct</v>
          </cell>
          <cell r="J2811">
            <v>1.1599999999999999</v>
          </cell>
          <cell r="K2811" t="str">
            <v>Medium</v>
          </cell>
          <cell r="AB2811">
            <v>2</v>
          </cell>
        </row>
        <row r="2812">
          <cell r="B2812" t="str">
            <v>Lalitha Devi</v>
          </cell>
          <cell r="I2812" t="str">
            <v>Wrong</v>
          </cell>
          <cell r="J2812">
            <v>2.12</v>
          </cell>
          <cell r="K2812" t="str">
            <v>Medium</v>
          </cell>
          <cell r="AB2812">
            <v>0</v>
          </cell>
        </row>
        <row r="2813">
          <cell r="B2813" t="str">
            <v>Lalitha Devi</v>
          </cell>
          <cell r="I2813" t="str">
            <v>Wrong</v>
          </cell>
          <cell r="J2813">
            <v>1.4</v>
          </cell>
          <cell r="K2813" t="str">
            <v>Medium</v>
          </cell>
          <cell r="AB2813">
            <v>0</v>
          </cell>
        </row>
        <row r="2814">
          <cell r="B2814" t="str">
            <v>Lalitha Devi</v>
          </cell>
          <cell r="I2814" t="str">
            <v>Correct</v>
          </cell>
          <cell r="J2814">
            <v>2.15</v>
          </cell>
          <cell r="K2814" t="str">
            <v>Medium</v>
          </cell>
          <cell r="AB2814">
            <v>1.67</v>
          </cell>
        </row>
        <row r="2815">
          <cell r="B2815" t="str">
            <v>Lalitha Devi</v>
          </cell>
          <cell r="I2815" t="str">
            <v>Wrong</v>
          </cell>
          <cell r="J2815">
            <v>2.02</v>
          </cell>
          <cell r="K2815" t="str">
            <v>Medium</v>
          </cell>
          <cell r="AB2815">
            <v>0</v>
          </cell>
        </row>
        <row r="2816">
          <cell r="B2816" t="str">
            <v>Lalitha Devi</v>
          </cell>
          <cell r="I2816" t="str">
            <v>Wrong</v>
          </cell>
          <cell r="J2816">
            <v>2.14</v>
          </cell>
          <cell r="K2816" t="str">
            <v>Medium</v>
          </cell>
          <cell r="AB2816">
            <v>0</v>
          </cell>
        </row>
        <row r="2817">
          <cell r="B2817" t="str">
            <v>Lalitha Devi</v>
          </cell>
          <cell r="I2817" t="str">
            <v>Wrong</v>
          </cell>
          <cell r="J2817">
            <v>1.97</v>
          </cell>
          <cell r="K2817" t="str">
            <v>High</v>
          </cell>
          <cell r="AB2817">
            <v>0</v>
          </cell>
        </row>
        <row r="2818">
          <cell r="B2818" t="str">
            <v>Lalitha Devi</v>
          </cell>
          <cell r="I2818" t="str">
            <v>Wrong</v>
          </cell>
          <cell r="J2818">
            <v>2.0099999999999998</v>
          </cell>
          <cell r="K2818" t="str">
            <v>High</v>
          </cell>
          <cell r="AB2818">
            <v>0</v>
          </cell>
        </row>
        <row r="2819">
          <cell r="B2819" t="str">
            <v>Lalitha Devi</v>
          </cell>
          <cell r="I2819" t="str">
            <v>Wrong</v>
          </cell>
          <cell r="J2819">
            <v>2.3199999999999998</v>
          </cell>
          <cell r="K2819" t="str">
            <v>High</v>
          </cell>
          <cell r="AB2819">
            <v>0</v>
          </cell>
        </row>
        <row r="2820">
          <cell r="B2820" t="str">
            <v>Lalitha Devi</v>
          </cell>
          <cell r="I2820" t="str">
            <v>Correct</v>
          </cell>
          <cell r="J2820">
            <v>1.71</v>
          </cell>
          <cell r="K2820" t="str">
            <v>High</v>
          </cell>
          <cell r="AB2820">
            <v>3</v>
          </cell>
        </row>
        <row r="2821">
          <cell r="B2821" t="str">
            <v>Lalitha Devi</v>
          </cell>
          <cell r="I2821" t="str">
            <v>Correct</v>
          </cell>
          <cell r="J2821">
            <v>1.94</v>
          </cell>
          <cell r="K2821" t="str">
            <v>High</v>
          </cell>
          <cell r="AB2821">
            <v>3</v>
          </cell>
        </row>
        <row r="2822">
          <cell r="B2822" t="str">
            <v>Magesh Kumar</v>
          </cell>
          <cell r="I2822" t="str">
            <v>Correct</v>
          </cell>
          <cell r="J2822">
            <v>1.77</v>
          </cell>
          <cell r="K2822" t="str">
            <v>Low</v>
          </cell>
          <cell r="AB2822">
            <v>1.69</v>
          </cell>
        </row>
        <row r="2823">
          <cell r="B2823" t="str">
            <v>Magesh Kumar</v>
          </cell>
          <cell r="I2823" t="str">
            <v>Wrong</v>
          </cell>
          <cell r="J2823">
            <v>1.61</v>
          </cell>
          <cell r="K2823" t="str">
            <v>Low</v>
          </cell>
          <cell r="AB2823">
            <v>0</v>
          </cell>
        </row>
        <row r="2824">
          <cell r="B2824" t="str">
            <v>Magesh Kumar</v>
          </cell>
          <cell r="I2824" t="str">
            <v>Correct</v>
          </cell>
          <cell r="J2824">
            <v>1.84</v>
          </cell>
          <cell r="K2824" t="str">
            <v>Low</v>
          </cell>
          <cell r="AB2824">
            <v>1.63</v>
          </cell>
        </row>
        <row r="2825">
          <cell r="B2825" t="str">
            <v>Magesh Kumar</v>
          </cell>
          <cell r="I2825" t="str">
            <v>Correct</v>
          </cell>
          <cell r="J2825">
            <v>1.82</v>
          </cell>
          <cell r="K2825" t="str">
            <v>Low</v>
          </cell>
          <cell r="AB2825">
            <v>0.82</v>
          </cell>
        </row>
        <row r="2826">
          <cell r="B2826" t="str">
            <v>Magesh Kumar</v>
          </cell>
          <cell r="I2826" t="str">
            <v>Correct</v>
          </cell>
          <cell r="J2826">
            <v>0.92</v>
          </cell>
          <cell r="K2826" t="str">
            <v>Low</v>
          </cell>
          <cell r="AB2826">
            <v>1</v>
          </cell>
        </row>
        <row r="2827">
          <cell r="B2827" t="str">
            <v>Magesh Kumar</v>
          </cell>
          <cell r="I2827" t="str">
            <v>Correct</v>
          </cell>
          <cell r="J2827">
            <v>1.69</v>
          </cell>
          <cell r="K2827" t="str">
            <v>Low</v>
          </cell>
          <cell r="AB2827">
            <v>1.78</v>
          </cell>
        </row>
        <row r="2828">
          <cell r="B2828" t="str">
            <v>Magesh Kumar</v>
          </cell>
          <cell r="I2828" t="str">
            <v>Correct</v>
          </cell>
          <cell r="J2828">
            <v>1.29</v>
          </cell>
          <cell r="K2828" t="str">
            <v>Low</v>
          </cell>
          <cell r="AB2828">
            <v>1</v>
          </cell>
        </row>
        <row r="2829">
          <cell r="B2829" t="str">
            <v>Magesh Kumar</v>
          </cell>
          <cell r="I2829" t="str">
            <v>Correct</v>
          </cell>
          <cell r="J2829">
            <v>1.38</v>
          </cell>
          <cell r="K2829" t="str">
            <v>Low</v>
          </cell>
          <cell r="AB2829">
            <v>2</v>
          </cell>
        </row>
        <row r="2830">
          <cell r="B2830" t="str">
            <v>Magesh Kumar</v>
          </cell>
          <cell r="I2830" t="str">
            <v>Correct</v>
          </cell>
          <cell r="J2830">
            <v>1.1299999999999999</v>
          </cell>
          <cell r="K2830" t="str">
            <v>Low</v>
          </cell>
          <cell r="AB2830">
            <v>2</v>
          </cell>
        </row>
        <row r="2831">
          <cell r="B2831" t="str">
            <v>Magesh Kumar</v>
          </cell>
          <cell r="I2831" t="str">
            <v>Correct</v>
          </cell>
          <cell r="J2831">
            <v>1.18</v>
          </cell>
          <cell r="K2831" t="str">
            <v>Medium</v>
          </cell>
          <cell r="AB2831">
            <v>2</v>
          </cell>
        </row>
        <row r="2832">
          <cell r="B2832" t="str">
            <v>Magesh Kumar</v>
          </cell>
          <cell r="I2832" t="str">
            <v>Wrong</v>
          </cell>
          <cell r="J2832">
            <v>2.27</v>
          </cell>
          <cell r="K2832" t="str">
            <v>Medium</v>
          </cell>
          <cell r="AB2832">
            <v>0</v>
          </cell>
        </row>
        <row r="2833">
          <cell r="B2833" t="str">
            <v>Magesh Kumar</v>
          </cell>
          <cell r="I2833" t="str">
            <v>Correct</v>
          </cell>
          <cell r="J2833">
            <v>1.83</v>
          </cell>
          <cell r="K2833" t="str">
            <v>Medium</v>
          </cell>
          <cell r="AB2833">
            <v>1.97</v>
          </cell>
        </row>
        <row r="2834">
          <cell r="B2834" t="str">
            <v>Magesh Kumar</v>
          </cell>
          <cell r="I2834" t="str">
            <v>Wrong</v>
          </cell>
          <cell r="J2834">
            <v>1.1200000000000001</v>
          </cell>
          <cell r="K2834" t="str">
            <v>Medium</v>
          </cell>
          <cell r="AB2834">
            <v>0</v>
          </cell>
        </row>
        <row r="2835">
          <cell r="B2835" t="str">
            <v>Magesh Kumar</v>
          </cell>
          <cell r="I2835" t="str">
            <v>Correct</v>
          </cell>
          <cell r="J2835">
            <v>1.83</v>
          </cell>
          <cell r="K2835" t="str">
            <v>Medium</v>
          </cell>
          <cell r="AB2835">
            <v>1.97</v>
          </cell>
        </row>
        <row r="2836">
          <cell r="B2836" t="str">
            <v>Magesh Kumar</v>
          </cell>
          <cell r="I2836" t="str">
            <v>Correct</v>
          </cell>
          <cell r="J2836">
            <v>1.44</v>
          </cell>
          <cell r="K2836" t="str">
            <v>Medium</v>
          </cell>
          <cell r="AB2836">
            <v>2</v>
          </cell>
        </row>
        <row r="2837">
          <cell r="B2837" t="str">
            <v>Magesh Kumar</v>
          </cell>
          <cell r="I2837" t="str">
            <v>Wrong</v>
          </cell>
          <cell r="J2837">
            <v>1.44</v>
          </cell>
          <cell r="K2837" t="str">
            <v>High</v>
          </cell>
          <cell r="AB2837">
            <v>0</v>
          </cell>
        </row>
        <row r="2838">
          <cell r="B2838" t="str">
            <v>Magesh Kumar</v>
          </cell>
          <cell r="I2838" t="str">
            <v>Correct</v>
          </cell>
          <cell r="J2838">
            <v>1.22</v>
          </cell>
          <cell r="K2838" t="str">
            <v>High</v>
          </cell>
          <cell r="AB2838">
            <v>3</v>
          </cell>
        </row>
        <row r="2839">
          <cell r="B2839" t="str">
            <v>Magesh Kumar</v>
          </cell>
          <cell r="I2839" t="str">
            <v>Wrong</v>
          </cell>
          <cell r="J2839">
            <v>1.88</v>
          </cell>
          <cell r="K2839" t="str">
            <v>High</v>
          </cell>
          <cell r="AB2839">
            <v>0</v>
          </cell>
        </row>
        <row r="2840">
          <cell r="B2840" t="str">
            <v>Magesh Kumar</v>
          </cell>
          <cell r="I2840" t="str">
            <v>Wrong</v>
          </cell>
          <cell r="J2840">
            <v>1.73</v>
          </cell>
          <cell r="K2840" t="str">
            <v>High</v>
          </cell>
          <cell r="AB2840">
            <v>0</v>
          </cell>
        </row>
        <row r="2841">
          <cell r="B2841" t="str">
            <v>Magesh Kumar</v>
          </cell>
          <cell r="I2841" t="str">
            <v>Correct</v>
          </cell>
          <cell r="J2841">
            <v>2.46</v>
          </cell>
          <cell r="K2841" t="str">
            <v>High</v>
          </cell>
          <cell r="AB2841">
            <v>2.44</v>
          </cell>
        </row>
        <row r="2842">
          <cell r="B2842" t="str">
            <v>Nithish R</v>
          </cell>
          <cell r="I2842" t="str">
            <v>Correct</v>
          </cell>
          <cell r="J2842">
            <v>1.27</v>
          </cell>
          <cell r="K2842" t="str">
            <v>Low</v>
          </cell>
          <cell r="AB2842">
            <v>2</v>
          </cell>
        </row>
        <row r="2843">
          <cell r="B2843" t="str">
            <v>Nithish R</v>
          </cell>
          <cell r="I2843" t="str">
            <v>Correct</v>
          </cell>
          <cell r="J2843">
            <v>0.98</v>
          </cell>
          <cell r="K2843" t="str">
            <v>Low</v>
          </cell>
          <cell r="AB2843">
            <v>1</v>
          </cell>
        </row>
        <row r="2844">
          <cell r="B2844" t="str">
            <v>Nithish R</v>
          </cell>
          <cell r="I2844" t="str">
            <v>Correct</v>
          </cell>
          <cell r="J2844">
            <v>1.79</v>
          </cell>
          <cell r="K2844" t="str">
            <v>Low</v>
          </cell>
          <cell r="AB2844">
            <v>1.68</v>
          </cell>
        </row>
        <row r="2845">
          <cell r="B2845" t="str">
            <v>Nithish R</v>
          </cell>
          <cell r="I2845" t="str">
            <v>Correct</v>
          </cell>
          <cell r="J2845">
            <v>1.55</v>
          </cell>
          <cell r="K2845" t="str">
            <v>Low</v>
          </cell>
          <cell r="AB2845">
            <v>0.97</v>
          </cell>
        </row>
        <row r="2846">
          <cell r="B2846" t="str">
            <v>Nithish R</v>
          </cell>
          <cell r="I2846" t="str">
            <v>Correct</v>
          </cell>
          <cell r="J2846">
            <v>1.23</v>
          </cell>
          <cell r="K2846" t="str">
            <v>Low</v>
          </cell>
          <cell r="AB2846">
            <v>1</v>
          </cell>
        </row>
        <row r="2847">
          <cell r="B2847" t="str">
            <v>Nithish R</v>
          </cell>
          <cell r="I2847" t="str">
            <v>Wrong</v>
          </cell>
          <cell r="J2847">
            <v>1.76</v>
          </cell>
          <cell r="K2847" t="str">
            <v>Low</v>
          </cell>
          <cell r="AB2847">
            <v>0</v>
          </cell>
        </row>
        <row r="2848">
          <cell r="B2848" t="str">
            <v>Nithish R</v>
          </cell>
          <cell r="I2848" t="str">
            <v>Correct</v>
          </cell>
          <cell r="J2848">
            <v>1.75</v>
          </cell>
          <cell r="K2848" t="str">
            <v>Low</v>
          </cell>
          <cell r="AB2848">
            <v>0.86</v>
          </cell>
        </row>
        <row r="2849">
          <cell r="B2849" t="str">
            <v>Nithish R</v>
          </cell>
          <cell r="I2849" t="str">
            <v>Correct</v>
          </cell>
          <cell r="J2849">
            <v>1.33</v>
          </cell>
          <cell r="K2849" t="str">
            <v>Low</v>
          </cell>
          <cell r="AB2849">
            <v>2</v>
          </cell>
        </row>
        <row r="2850">
          <cell r="B2850" t="str">
            <v>Nithish R</v>
          </cell>
          <cell r="I2850" t="str">
            <v>Correct</v>
          </cell>
          <cell r="J2850">
            <v>0.94</v>
          </cell>
          <cell r="K2850" t="str">
            <v>Low</v>
          </cell>
          <cell r="AB2850">
            <v>2</v>
          </cell>
        </row>
        <row r="2851">
          <cell r="B2851" t="str">
            <v>Nithish R</v>
          </cell>
          <cell r="I2851" t="str">
            <v>Wrong</v>
          </cell>
          <cell r="J2851">
            <v>2.11</v>
          </cell>
          <cell r="K2851" t="str">
            <v>Medium</v>
          </cell>
          <cell r="AB2851">
            <v>0</v>
          </cell>
        </row>
        <row r="2852">
          <cell r="B2852" t="str">
            <v>Nithish R</v>
          </cell>
          <cell r="I2852" t="str">
            <v>Correct</v>
          </cell>
          <cell r="J2852">
            <v>1.72</v>
          </cell>
          <cell r="K2852" t="str">
            <v>Medium</v>
          </cell>
          <cell r="AB2852">
            <v>2</v>
          </cell>
        </row>
        <row r="2853">
          <cell r="B2853" t="str">
            <v>Nithish R</v>
          </cell>
          <cell r="I2853" t="str">
            <v>Correct</v>
          </cell>
          <cell r="J2853">
            <v>1.35</v>
          </cell>
          <cell r="K2853" t="str">
            <v>Medium</v>
          </cell>
          <cell r="AB2853">
            <v>2</v>
          </cell>
        </row>
        <row r="2854">
          <cell r="B2854" t="str">
            <v>Nithish R</v>
          </cell>
          <cell r="I2854" t="str">
            <v>Correct</v>
          </cell>
          <cell r="J2854">
            <v>1.64</v>
          </cell>
          <cell r="K2854" t="str">
            <v>Medium</v>
          </cell>
          <cell r="AB2854">
            <v>2</v>
          </cell>
        </row>
        <row r="2855">
          <cell r="B2855" t="str">
            <v>Nithish R</v>
          </cell>
          <cell r="I2855" t="str">
            <v>Correct</v>
          </cell>
          <cell r="J2855">
            <v>1.37</v>
          </cell>
          <cell r="K2855" t="str">
            <v>Medium</v>
          </cell>
          <cell r="AB2855">
            <v>2</v>
          </cell>
        </row>
        <row r="2856">
          <cell r="B2856" t="str">
            <v>Nithish R</v>
          </cell>
          <cell r="I2856" t="str">
            <v>Wrong</v>
          </cell>
          <cell r="J2856">
            <v>1.38</v>
          </cell>
          <cell r="K2856" t="str">
            <v>Medium</v>
          </cell>
          <cell r="AB2856">
            <v>0</v>
          </cell>
        </row>
        <row r="2857">
          <cell r="B2857" t="str">
            <v>Nithish R</v>
          </cell>
          <cell r="I2857" t="str">
            <v>Wrong</v>
          </cell>
          <cell r="J2857">
            <v>2.21</v>
          </cell>
          <cell r="K2857" t="str">
            <v>High</v>
          </cell>
          <cell r="AB2857">
            <v>0</v>
          </cell>
        </row>
        <row r="2858">
          <cell r="B2858" t="str">
            <v>Nithish R</v>
          </cell>
          <cell r="I2858" t="str">
            <v>Correct</v>
          </cell>
          <cell r="J2858">
            <v>1.94</v>
          </cell>
          <cell r="K2858" t="str">
            <v>High</v>
          </cell>
          <cell r="AB2858">
            <v>3</v>
          </cell>
        </row>
        <row r="2859">
          <cell r="B2859" t="str">
            <v>Nithish R</v>
          </cell>
          <cell r="I2859" t="str">
            <v>Correct</v>
          </cell>
          <cell r="J2859">
            <v>2.2200000000000002</v>
          </cell>
          <cell r="K2859" t="str">
            <v>High</v>
          </cell>
          <cell r="AB2859">
            <v>2.7</v>
          </cell>
        </row>
        <row r="2860">
          <cell r="B2860" t="str">
            <v>Nithish R</v>
          </cell>
          <cell r="I2860" t="str">
            <v>Correct</v>
          </cell>
          <cell r="J2860">
            <v>1.61</v>
          </cell>
          <cell r="K2860" t="str">
            <v>High</v>
          </cell>
          <cell r="AB2860">
            <v>3</v>
          </cell>
        </row>
        <row r="2861">
          <cell r="B2861" t="str">
            <v>Nithish R</v>
          </cell>
          <cell r="I2861" t="str">
            <v>Correct</v>
          </cell>
          <cell r="J2861">
            <v>2.5299999999999998</v>
          </cell>
          <cell r="K2861" t="str">
            <v>High</v>
          </cell>
          <cell r="AB2861">
            <v>2.37</v>
          </cell>
        </row>
        <row r="2862">
          <cell r="B2862" t="str">
            <v>Prakash M</v>
          </cell>
          <cell r="I2862" t="str">
            <v>Correct</v>
          </cell>
          <cell r="J2862">
            <v>1.68</v>
          </cell>
          <cell r="K2862" t="str">
            <v>Low</v>
          </cell>
          <cell r="AB2862">
            <v>1.79</v>
          </cell>
        </row>
        <row r="2863">
          <cell r="B2863" t="str">
            <v>Prakash M</v>
          </cell>
          <cell r="I2863" t="str">
            <v>Correct</v>
          </cell>
          <cell r="J2863">
            <v>1.01</v>
          </cell>
          <cell r="K2863" t="str">
            <v>Low</v>
          </cell>
          <cell r="AB2863">
            <v>1</v>
          </cell>
        </row>
        <row r="2864">
          <cell r="B2864" t="str">
            <v>Prakash M</v>
          </cell>
          <cell r="I2864" t="str">
            <v>Correct</v>
          </cell>
          <cell r="J2864">
            <v>1.76</v>
          </cell>
          <cell r="K2864" t="str">
            <v>Low</v>
          </cell>
          <cell r="AB2864">
            <v>1.7</v>
          </cell>
        </row>
        <row r="2865">
          <cell r="B2865" t="str">
            <v>Prakash M</v>
          </cell>
          <cell r="I2865" t="str">
            <v>Correct</v>
          </cell>
          <cell r="J2865">
            <v>1.08</v>
          </cell>
          <cell r="K2865" t="str">
            <v>Low</v>
          </cell>
          <cell r="AB2865">
            <v>1</v>
          </cell>
        </row>
        <row r="2866">
          <cell r="B2866" t="str">
            <v>Prakash M</v>
          </cell>
          <cell r="I2866" t="str">
            <v>Correct</v>
          </cell>
          <cell r="J2866">
            <v>1.41</v>
          </cell>
          <cell r="K2866" t="str">
            <v>Low</v>
          </cell>
          <cell r="AB2866">
            <v>1</v>
          </cell>
        </row>
        <row r="2867">
          <cell r="B2867" t="str">
            <v>Prakash M</v>
          </cell>
          <cell r="I2867" t="str">
            <v>Wrong</v>
          </cell>
          <cell r="J2867">
            <v>1.85</v>
          </cell>
          <cell r="K2867" t="str">
            <v>Low</v>
          </cell>
          <cell r="AB2867">
            <v>0</v>
          </cell>
        </row>
        <row r="2868">
          <cell r="B2868" t="str">
            <v>Prakash M</v>
          </cell>
          <cell r="I2868" t="str">
            <v>Correct</v>
          </cell>
          <cell r="J2868">
            <v>1.76</v>
          </cell>
          <cell r="K2868" t="str">
            <v>Low</v>
          </cell>
          <cell r="AB2868">
            <v>0.85</v>
          </cell>
        </row>
        <row r="2869">
          <cell r="B2869" t="str">
            <v>Prakash M</v>
          </cell>
          <cell r="I2869" t="str">
            <v>Correct</v>
          </cell>
          <cell r="J2869">
            <v>1.89</v>
          </cell>
          <cell r="K2869" t="str">
            <v>Low</v>
          </cell>
          <cell r="AB2869">
            <v>1.59</v>
          </cell>
        </row>
        <row r="2870">
          <cell r="B2870" t="str">
            <v>Prakash M</v>
          </cell>
          <cell r="I2870" t="str">
            <v>Correct</v>
          </cell>
          <cell r="J2870">
            <v>1.1299999999999999</v>
          </cell>
          <cell r="K2870" t="str">
            <v>Low</v>
          </cell>
          <cell r="AB2870">
            <v>2</v>
          </cell>
        </row>
        <row r="2871">
          <cell r="B2871" t="str">
            <v>Prakash M</v>
          </cell>
          <cell r="I2871" t="str">
            <v>Correct</v>
          </cell>
          <cell r="J2871">
            <v>2</v>
          </cell>
          <cell r="K2871" t="str">
            <v>Medium</v>
          </cell>
          <cell r="AB2871">
            <v>1.8</v>
          </cell>
        </row>
        <row r="2872">
          <cell r="B2872" t="str">
            <v>Prakash M</v>
          </cell>
          <cell r="I2872" t="str">
            <v>Correct</v>
          </cell>
          <cell r="J2872">
            <v>1.25</v>
          </cell>
          <cell r="K2872" t="str">
            <v>Medium</v>
          </cell>
          <cell r="AB2872">
            <v>2</v>
          </cell>
        </row>
        <row r="2873">
          <cell r="B2873" t="str">
            <v>Prakash M</v>
          </cell>
          <cell r="I2873" t="str">
            <v>Wrong</v>
          </cell>
          <cell r="J2873">
            <v>1.73</v>
          </cell>
          <cell r="K2873" t="str">
            <v>Medium</v>
          </cell>
          <cell r="AB2873">
            <v>0</v>
          </cell>
        </row>
        <row r="2874">
          <cell r="B2874" t="str">
            <v>Prakash M</v>
          </cell>
          <cell r="I2874" t="str">
            <v>Correct</v>
          </cell>
          <cell r="J2874">
            <v>2.16</v>
          </cell>
          <cell r="K2874" t="str">
            <v>Medium</v>
          </cell>
          <cell r="AB2874">
            <v>1.67</v>
          </cell>
        </row>
        <row r="2875">
          <cell r="B2875" t="str">
            <v>Prakash M</v>
          </cell>
          <cell r="I2875" t="str">
            <v>Wrong</v>
          </cell>
          <cell r="J2875">
            <v>2.14</v>
          </cell>
          <cell r="K2875" t="str">
            <v>Medium</v>
          </cell>
          <cell r="AB2875">
            <v>0</v>
          </cell>
        </row>
        <row r="2876">
          <cell r="B2876" t="str">
            <v>Prakash M</v>
          </cell>
          <cell r="I2876" t="str">
            <v>Correct</v>
          </cell>
          <cell r="J2876">
            <v>1.48</v>
          </cell>
          <cell r="K2876" t="str">
            <v>Medium</v>
          </cell>
          <cell r="AB2876">
            <v>2</v>
          </cell>
        </row>
        <row r="2877">
          <cell r="B2877" t="str">
            <v>Prakash M</v>
          </cell>
          <cell r="I2877" t="str">
            <v>Correct</v>
          </cell>
          <cell r="J2877">
            <v>2.13</v>
          </cell>
          <cell r="K2877" t="str">
            <v>High</v>
          </cell>
          <cell r="AB2877">
            <v>2.82</v>
          </cell>
        </row>
        <row r="2878">
          <cell r="B2878" t="str">
            <v>Prakash M</v>
          </cell>
          <cell r="I2878" t="str">
            <v>Correct</v>
          </cell>
          <cell r="J2878">
            <v>2.5299999999999998</v>
          </cell>
          <cell r="K2878" t="str">
            <v>High</v>
          </cell>
          <cell r="AB2878">
            <v>2.37</v>
          </cell>
        </row>
        <row r="2879">
          <cell r="B2879" t="str">
            <v>Prakash M</v>
          </cell>
          <cell r="I2879" t="str">
            <v>Correct</v>
          </cell>
          <cell r="J2879">
            <v>1.86</v>
          </cell>
          <cell r="K2879" t="str">
            <v>High</v>
          </cell>
          <cell r="AB2879">
            <v>3</v>
          </cell>
        </row>
        <row r="2880">
          <cell r="B2880" t="str">
            <v>Prakash M</v>
          </cell>
          <cell r="I2880" t="str">
            <v>Correct</v>
          </cell>
          <cell r="J2880">
            <v>2.13</v>
          </cell>
          <cell r="K2880" t="str">
            <v>High</v>
          </cell>
          <cell r="AB2880">
            <v>2.82</v>
          </cell>
        </row>
        <row r="2881">
          <cell r="B2881" t="str">
            <v>Prakash M</v>
          </cell>
          <cell r="I2881" t="str">
            <v>Wrong</v>
          </cell>
          <cell r="J2881">
            <v>2.15</v>
          </cell>
          <cell r="K2881" t="str">
            <v>High</v>
          </cell>
          <cell r="AB2881">
            <v>0</v>
          </cell>
        </row>
        <row r="2882">
          <cell r="B2882" t="str">
            <v>Ragul Raj</v>
          </cell>
          <cell r="I2882" t="str">
            <v>Correct</v>
          </cell>
          <cell r="J2882">
            <v>0.99</v>
          </cell>
          <cell r="K2882" t="str">
            <v>Low</v>
          </cell>
          <cell r="AB2882">
            <v>2</v>
          </cell>
        </row>
        <row r="2883">
          <cell r="B2883" t="str">
            <v>Ragul Raj</v>
          </cell>
          <cell r="I2883" t="str">
            <v>Correct</v>
          </cell>
          <cell r="J2883">
            <v>1.1200000000000001</v>
          </cell>
          <cell r="K2883" t="str">
            <v>Low</v>
          </cell>
          <cell r="AB2883">
            <v>1</v>
          </cell>
        </row>
        <row r="2884">
          <cell r="B2884" t="str">
            <v>Ragul Raj</v>
          </cell>
          <cell r="I2884" t="str">
            <v>Wrong</v>
          </cell>
          <cell r="J2884">
            <v>1.57</v>
          </cell>
          <cell r="K2884" t="str">
            <v>Low</v>
          </cell>
          <cell r="AB2884">
            <v>0</v>
          </cell>
        </row>
        <row r="2885">
          <cell r="B2885" t="str">
            <v>Ragul Raj</v>
          </cell>
          <cell r="I2885" t="str">
            <v>Correct</v>
          </cell>
          <cell r="J2885">
            <v>1.57</v>
          </cell>
          <cell r="K2885" t="str">
            <v>Low</v>
          </cell>
          <cell r="AB2885">
            <v>0.96</v>
          </cell>
        </row>
        <row r="2886">
          <cell r="B2886" t="str">
            <v>Ragul Raj</v>
          </cell>
          <cell r="I2886" t="str">
            <v>Correct</v>
          </cell>
          <cell r="J2886">
            <v>1.45</v>
          </cell>
          <cell r="K2886" t="str">
            <v>Low</v>
          </cell>
          <cell r="AB2886">
            <v>1</v>
          </cell>
        </row>
        <row r="2887">
          <cell r="B2887" t="str">
            <v>Ragul Raj</v>
          </cell>
          <cell r="I2887" t="str">
            <v>Correct</v>
          </cell>
          <cell r="J2887">
            <v>1.6</v>
          </cell>
          <cell r="K2887" t="str">
            <v>Low</v>
          </cell>
          <cell r="AB2887">
            <v>1.88</v>
          </cell>
        </row>
        <row r="2888">
          <cell r="B2888" t="str">
            <v>Ragul Raj</v>
          </cell>
          <cell r="I2888" t="str">
            <v>Correct</v>
          </cell>
          <cell r="J2888">
            <v>0.94</v>
          </cell>
          <cell r="K2888" t="str">
            <v>Low</v>
          </cell>
          <cell r="AB2888">
            <v>1</v>
          </cell>
        </row>
        <row r="2889">
          <cell r="B2889" t="str">
            <v>Ragul Raj</v>
          </cell>
          <cell r="I2889" t="str">
            <v>Correct</v>
          </cell>
          <cell r="J2889">
            <v>0.95</v>
          </cell>
          <cell r="K2889" t="str">
            <v>Low</v>
          </cell>
          <cell r="AB2889">
            <v>2</v>
          </cell>
        </row>
        <row r="2890">
          <cell r="B2890" t="str">
            <v>Ragul Raj</v>
          </cell>
          <cell r="I2890" t="str">
            <v>Correct</v>
          </cell>
          <cell r="J2890">
            <v>1.57</v>
          </cell>
          <cell r="K2890" t="str">
            <v>Low</v>
          </cell>
          <cell r="AB2890">
            <v>1.91</v>
          </cell>
        </row>
        <row r="2891">
          <cell r="B2891" t="str">
            <v>Ragul Raj</v>
          </cell>
          <cell r="I2891" t="str">
            <v>Correct</v>
          </cell>
          <cell r="J2891">
            <v>1.78</v>
          </cell>
          <cell r="K2891" t="str">
            <v>Medium</v>
          </cell>
          <cell r="AB2891">
            <v>2</v>
          </cell>
        </row>
        <row r="2892">
          <cell r="B2892" t="str">
            <v>Ragul Raj</v>
          </cell>
          <cell r="I2892" t="str">
            <v>Wrong</v>
          </cell>
          <cell r="J2892">
            <v>1.56</v>
          </cell>
          <cell r="K2892" t="str">
            <v>Medium</v>
          </cell>
          <cell r="AB2892">
            <v>0</v>
          </cell>
        </row>
        <row r="2893">
          <cell r="B2893" t="str">
            <v>Ragul Raj</v>
          </cell>
          <cell r="I2893" t="str">
            <v>Correct</v>
          </cell>
          <cell r="J2893">
            <v>1.41</v>
          </cell>
          <cell r="K2893" t="str">
            <v>Medium</v>
          </cell>
          <cell r="AB2893">
            <v>2</v>
          </cell>
        </row>
        <row r="2894">
          <cell r="B2894" t="str">
            <v>Ragul Raj</v>
          </cell>
          <cell r="I2894" t="str">
            <v>Wrong</v>
          </cell>
          <cell r="J2894">
            <v>1.94</v>
          </cell>
          <cell r="K2894" t="str">
            <v>Medium</v>
          </cell>
          <cell r="AB2894">
            <v>0</v>
          </cell>
        </row>
        <row r="2895">
          <cell r="B2895" t="str">
            <v>Ragul Raj</v>
          </cell>
          <cell r="I2895" t="str">
            <v>Wrong</v>
          </cell>
          <cell r="J2895">
            <v>2.25</v>
          </cell>
          <cell r="K2895" t="str">
            <v>Medium</v>
          </cell>
          <cell r="AB2895">
            <v>0</v>
          </cell>
        </row>
        <row r="2896">
          <cell r="B2896" t="str">
            <v>Ragul Raj</v>
          </cell>
          <cell r="I2896" t="str">
            <v>Correct</v>
          </cell>
          <cell r="J2896">
            <v>1.99</v>
          </cell>
          <cell r="K2896" t="str">
            <v>Medium</v>
          </cell>
          <cell r="AB2896">
            <v>1.81</v>
          </cell>
        </row>
        <row r="2897">
          <cell r="B2897" t="str">
            <v>Ragul Raj</v>
          </cell>
          <cell r="I2897" t="str">
            <v>Wrong</v>
          </cell>
          <cell r="J2897">
            <v>1.82</v>
          </cell>
          <cell r="K2897" t="str">
            <v>High</v>
          </cell>
          <cell r="AB2897">
            <v>0</v>
          </cell>
        </row>
        <row r="2898">
          <cell r="B2898" t="str">
            <v>Ragul Raj</v>
          </cell>
          <cell r="I2898" t="str">
            <v>Correct</v>
          </cell>
          <cell r="J2898">
            <v>2.35</v>
          </cell>
          <cell r="K2898" t="str">
            <v>High</v>
          </cell>
          <cell r="AB2898">
            <v>2.5499999999999998</v>
          </cell>
        </row>
        <row r="2899">
          <cell r="B2899" t="str">
            <v>Ragul Raj</v>
          </cell>
          <cell r="I2899" t="str">
            <v>Correct</v>
          </cell>
          <cell r="J2899">
            <v>2.21</v>
          </cell>
          <cell r="K2899" t="str">
            <v>High</v>
          </cell>
          <cell r="AB2899">
            <v>2.72</v>
          </cell>
        </row>
        <row r="2900">
          <cell r="B2900" t="str">
            <v>Ragul Raj</v>
          </cell>
          <cell r="I2900" t="str">
            <v>Wrong</v>
          </cell>
          <cell r="J2900">
            <v>1.92</v>
          </cell>
          <cell r="K2900" t="str">
            <v>High</v>
          </cell>
          <cell r="AB2900">
            <v>0</v>
          </cell>
        </row>
        <row r="2901">
          <cell r="B2901" t="str">
            <v>Ragul Raj</v>
          </cell>
          <cell r="I2901" t="str">
            <v>Wrong</v>
          </cell>
          <cell r="J2901">
            <v>2.06</v>
          </cell>
          <cell r="K2901" t="str">
            <v>High</v>
          </cell>
          <cell r="AB2901">
            <v>0</v>
          </cell>
        </row>
        <row r="2902">
          <cell r="B2902" t="str">
            <v>Sanjay R</v>
          </cell>
          <cell r="I2902" t="str">
            <v>Wrong</v>
          </cell>
          <cell r="J2902">
            <v>1.67</v>
          </cell>
          <cell r="K2902" t="str">
            <v>Low</v>
          </cell>
          <cell r="AB2902">
            <v>0</v>
          </cell>
        </row>
        <row r="2903">
          <cell r="B2903" t="str">
            <v>Sanjay R</v>
          </cell>
          <cell r="I2903" t="str">
            <v>Correct</v>
          </cell>
          <cell r="J2903">
            <v>1.08</v>
          </cell>
          <cell r="K2903" t="str">
            <v>Low</v>
          </cell>
          <cell r="AB2903">
            <v>1</v>
          </cell>
        </row>
        <row r="2904">
          <cell r="B2904" t="str">
            <v>Sanjay R</v>
          </cell>
          <cell r="I2904" t="str">
            <v>Correct</v>
          </cell>
          <cell r="J2904">
            <v>1.79</v>
          </cell>
          <cell r="K2904" t="str">
            <v>Low</v>
          </cell>
          <cell r="AB2904">
            <v>1.68</v>
          </cell>
        </row>
        <row r="2905">
          <cell r="B2905" t="str">
            <v>Sanjay R</v>
          </cell>
          <cell r="I2905" t="str">
            <v>Wrong</v>
          </cell>
          <cell r="J2905">
            <v>1.38</v>
          </cell>
          <cell r="K2905" t="str">
            <v>Low</v>
          </cell>
          <cell r="AB2905">
            <v>0</v>
          </cell>
        </row>
        <row r="2906">
          <cell r="B2906" t="str">
            <v>Sanjay R</v>
          </cell>
          <cell r="I2906" t="str">
            <v>Wrong</v>
          </cell>
          <cell r="J2906">
            <v>1.1299999999999999</v>
          </cell>
          <cell r="K2906" t="str">
            <v>Low</v>
          </cell>
          <cell r="AB2906">
            <v>0</v>
          </cell>
        </row>
        <row r="2907">
          <cell r="B2907" t="str">
            <v>Sanjay R</v>
          </cell>
          <cell r="I2907" t="str">
            <v>Wrong</v>
          </cell>
          <cell r="J2907">
            <v>1.42</v>
          </cell>
          <cell r="K2907" t="str">
            <v>Low</v>
          </cell>
          <cell r="AB2907">
            <v>0</v>
          </cell>
        </row>
        <row r="2908">
          <cell r="B2908" t="str">
            <v>Sanjay R</v>
          </cell>
          <cell r="I2908" t="str">
            <v>Correct</v>
          </cell>
          <cell r="J2908">
            <v>1.1299999999999999</v>
          </cell>
          <cell r="K2908" t="str">
            <v>Low</v>
          </cell>
          <cell r="AB2908">
            <v>1</v>
          </cell>
        </row>
        <row r="2909">
          <cell r="B2909" t="str">
            <v>Sanjay R</v>
          </cell>
          <cell r="I2909" t="str">
            <v>Wrong</v>
          </cell>
          <cell r="J2909">
            <v>1.92</v>
          </cell>
          <cell r="K2909" t="str">
            <v>Low</v>
          </cell>
          <cell r="AB2909">
            <v>0</v>
          </cell>
        </row>
        <row r="2910">
          <cell r="B2910" t="str">
            <v>Sanjay R</v>
          </cell>
          <cell r="I2910" t="str">
            <v>Correct</v>
          </cell>
          <cell r="J2910">
            <v>1.97</v>
          </cell>
          <cell r="K2910" t="str">
            <v>Low</v>
          </cell>
          <cell r="AB2910">
            <v>1.52</v>
          </cell>
        </row>
        <row r="2911">
          <cell r="B2911" t="str">
            <v>Sanjay R</v>
          </cell>
          <cell r="I2911" t="str">
            <v>Wrong</v>
          </cell>
          <cell r="J2911">
            <v>2.1</v>
          </cell>
          <cell r="K2911" t="str">
            <v>Medium</v>
          </cell>
          <cell r="AB2911">
            <v>0</v>
          </cell>
        </row>
        <row r="2912">
          <cell r="B2912" t="str">
            <v>Sanjay R</v>
          </cell>
          <cell r="I2912" t="str">
            <v>Correct</v>
          </cell>
          <cell r="J2912">
            <v>1.5</v>
          </cell>
          <cell r="K2912" t="str">
            <v>Medium</v>
          </cell>
          <cell r="AB2912">
            <v>2</v>
          </cell>
        </row>
        <row r="2913">
          <cell r="B2913" t="str">
            <v>Sanjay R</v>
          </cell>
          <cell r="I2913" t="str">
            <v>Wrong</v>
          </cell>
          <cell r="J2913">
            <v>1.73</v>
          </cell>
          <cell r="K2913" t="str">
            <v>Medium</v>
          </cell>
          <cell r="AB2913">
            <v>0</v>
          </cell>
        </row>
        <row r="2914">
          <cell r="B2914" t="str">
            <v>Sanjay R</v>
          </cell>
          <cell r="I2914" t="str">
            <v>Wrong</v>
          </cell>
          <cell r="J2914">
            <v>1.27</v>
          </cell>
          <cell r="K2914" t="str">
            <v>Medium</v>
          </cell>
          <cell r="AB2914">
            <v>0</v>
          </cell>
        </row>
        <row r="2915">
          <cell r="B2915" t="str">
            <v>Sanjay R</v>
          </cell>
          <cell r="I2915" t="str">
            <v>Correct</v>
          </cell>
          <cell r="J2915">
            <v>1.71</v>
          </cell>
          <cell r="K2915" t="str">
            <v>Medium</v>
          </cell>
          <cell r="AB2915">
            <v>2</v>
          </cell>
        </row>
        <row r="2916">
          <cell r="B2916" t="str">
            <v>Sanjay R</v>
          </cell>
          <cell r="I2916" t="str">
            <v>Wrong</v>
          </cell>
          <cell r="J2916">
            <v>2.11</v>
          </cell>
          <cell r="K2916" t="str">
            <v>Medium</v>
          </cell>
          <cell r="AB2916">
            <v>0</v>
          </cell>
        </row>
        <row r="2917">
          <cell r="B2917" t="str">
            <v>Sanjay R</v>
          </cell>
          <cell r="I2917" t="str">
            <v>Wrong</v>
          </cell>
          <cell r="J2917">
            <v>1.32</v>
          </cell>
          <cell r="K2917" t="str">
            <v>High</v>
          </cell>
          <cell r="AB2917">
            <v>0</v>
          </cell>
        </row>
        <row r="2918">
          <cell r="B2918" t="str">
            <v>Sanjay R</v>
          </cell>
          <cell r="I2918" t="str">
            <v>Wrong</v>
          </cell>
          <cell r="J2918">
            <v>1.26</v>
          </cell>
          <cell r="K2918" t="str">
            <v>High</v>
          </cell>
          <cell r="AB2918">
            <v>0</v>
          </cell>
        </row>
        <row r="2919">
          <cell r="B2919" t="str">
            <v>Sanjay R</v>
          </cell>
          <cell r="I2919" t="str">
            <v>Correct</v>
          </cell>
          <cell r="J2919">
            <v>1.2</v>
          </cell>
          <cell r="K2919" t="str">
            <v>High</v>
          </cell>
          <cell r="AB2919">
            <v>3</v>
          </cell>
        </row>
        <row r="2920">
          <cell r="B2920" t="str">
            <v>Sanjay R</v>
          </cell>
          <cell r="I2920" t="str">
            <v>Correct</v>
          </cell>
          <cell r="J2920">
            <v>1.65</v>
          </cell>
          <cell r="K2920" t="str">
            <v>High</v>
          </cell>
          <cell r="AB2920">
            <v>3</v>
          </cell>
        </row>
        <row r="2921">
          <cell r="B2921" t="str">
            <v>Sanjay R</v>
          </cell>
          <cell r="I2921" t="str">
            <v>Correct</v>
          </cell>
          <cell r="J2921">
            <v>1.62</v>
          </cell>
          <cell r="K2921" t="str">
            <v>High</v>
          </cell>
          <cell r="AB2921">
            <v>3</v>
          </cell>
        </row>
        <row r="2922">
          <cell r="B2922" t="str">
            <v>Thivya S</v>
          </cell>
          <cell r="I2922" t="str">
            <v>Correct</v>
          </cell>
          <cell r="J2922">
            <v>1.44</v>
          </cell>
          <cell r="K2922" t="str">
            <v>Low</v>
          </cell>
          <cell r="AB2922">
            <v>2</v>
          </cell>
        </row>
        <row r="2923">
          <cell r="B2923" t="str">
            <v>Thivya S</v>
          </cell>
          <cell r="I2923" t="str">
            <v>Correct</v>
          </cell>
          <cell r="J2923">
            <v>1.55</v>
          </cell>
          <cell r="K2923" t="str">
            <v>Low</v>
          </cell>
          <cell r="AB2923">
            <v>0.97</v>
          </cell>
        </row>
        <row r="2924">
          <cell r="B2924" t="str">
            <v>Thivya S</v>
          </cell>
          <cell r="I2924" t="str">
            <v>Correct</v>
          </cell>
          <cell r="J2924">
            <v>1.44</v>
          </cell>
          <cell r="K2924" t="str">
            <v>Low</v>
          </cell>
          <cell r="AB2924">
            <v>2</v>
          </cell>
        </row>
        <row r="2925">
          <cell r="B2925" t="str">
            <v>Thivya S</v>
          </cell>
          <cell r="I2925" t="str">
            <v>Correct</v>
          </cell>
          <cell r="J2925">
            <v>1.83</v>
          </cell>
          <cell r="K2925" t="str">
            <v>Low</v>
          </cell>
          <cell r="AB2925">
            <v>0.82</v>
          </cell>
        </row>
        <row r="2926">
          <cell r="B2926" t="str">
            <v>Thivya S</v>
          </cell>
          <cell r="I2926" t="str">
            <v>Correct</v>
          </cell>
          <cell r="J2926">
            <v>1.45</v>
          </cell>
          <cell r="K2926" t="str">
            <v>Low</v>
          </cell>
          <cell r="AB2926">
            <v>1</v>
          </cell>
        </row>
        <row r="2927">
          <cell r="B2927" t="str">
            <v>Thivya S</v>
          </cell>
          <cell r="I2927" t="str">
            <v>Correct</v>
          </cell>
          <cell r="J2927">
            <v>1.38</v>
          </cell>
          <cell r="K2927" t="str">
            <v>Low</v>
          </cell>
          <cell r="AB2927">
            <v>2</v>
          </cell>
        </row>
        <row r="2928">
          <cell r="B2928" t="str">
            <v>Thivya S</v>
          </cell>
          <cell r="I2928" t="str">
            <v>Correct</v>
          </cell>
          <cell r="J2928">
            <v>1.04</v>
          </cell>
          <cell r="K2928" t="str">
            <v>Low</v>
          </cell>
          <cell r="AB2928">
            <v>1</v>
          </cell>
        </row>
        <row r="2929">
          <cell r="B2929" t="str">
            <v>Thivya S</v>
          </cell>
          <cell r="I2929" t="str">
            <v>Correct</v>
          </cell>
          <cell r="J2929">
            <v>1.69</v>
          </cell>
          <cell r="K2929" t="str">
            <v>Low</v>
          </cell>
          <cell r="AB2929">
            <v>1.78</v>
          </cell>
        </row>
        <row r="2930">
          <cell r="B2930" t="str">
            <v>Thivya S</v>
          </cell>
          <cell r="I2930" t="str">
            <v>Wrong</v>
          </cell>
          <cell r="J2930">
            <v>1.35</v>
          </cell>
          <cell r="K2930" t="str">
            <v>Low</v>
          </cell>
          <cell r="AB2930">
            <v>0</v>
          </cell>
        </row>
        <row r="2931">
          <cell r="B2931" t="str">
            <v>Thivya S</v>
          </cell>
          <cell r="I2931" t="str">
            <v>Correct</v>
          </cell>
          <cell r="J2931">
            <v>1.27</v>
          </cell>
          <cell r="K2931" t="str">
            <v>Medium</v>
          </cell>
          <cell r="AB2931">
            <v>2</v>
          </cell>
        </row>
        <row r="2932">
          <cell r="B2932" t="str">
            <v>Thivya S</v>
          </cell>
          <cell r="I2932" t="str">
            <v>Wrong</v>
          </cell>
          <cell r="J2932">
            <v>2.1800000000000002</v>
          </cell>
          <cell r="K2932" t="str">
            <v>Medium</v>
          </cell>
          <cell r="AB2932">
            <v>0</v>
          </cell>
        </row>
        <row r="2933">
          <cell r="B2933" t="str">
            <v>Thivya S</v>
          </cell>
          <cell r="I2933" t="str">
            <v>Correct</v>
          </cell>
          <cell r="J2933">
            <v>1.98</v>
          </cell>
          <cell r="K2933" t="str">
            <v>Medium</v>
          </cell>
          <cell r="AB2933">
            <v>1.82</v>
          </cell>
        </row>
        <row r="2934">
          <cell r="B2934" t="str">
            <v>Thivya S</v>
          </cell>
          <cell r="I2934" t="str">
            <v>Correct</v>
          </cell>
          <cell r="J2934">
            <v>1.49</v>
          </cell>
          <cell r="K2934" t="str">
            <v>Medium</v>
          </cell>
          <cell r="AB2934">
            <v>2</v>
          </cell>
        </row>
        <row r="2935">
          <cell r="B2935" t="str">
            <v>Thivya S</v>
          </cell>
          <cell r="I2935" t="str">
            <v>Correct</v>
          </cell>
          <cell r="J2935">
            <v>1.3</v>
          </cell>
          <cell r="K2935" t="str">
            <v>Medium</v>
          </cell>
          <cell r="AB2935">
            <v>2</v>
          </cell>
        </row>
        <row r="2936">
          <cell r="B2936" t="str">
            <v>Thivya S</v>
          </cell>
          <cell r="I2936" t="str">
            <v>Correct</v>
          </cell>
          <cell r="J2936">
            <v>1.98</v>
          </cell>
          <cell r="K2936" t="str">
            <v>Medium</v>
          </cell>
          <cell r="AB2936">
            <v>1.82</v>
          </cell>
        </row>
        <row r="2937">
          <cell r="B2937" t="str">
            <v>Thivya S</v>
          </cell>
          <cell r="I2937" t="str">
            <v>Wrong</v>
          </cell>
          <cell r="J2937">
            <v>1.31</v>
          </cell>
          <cell r="K2937" t="str">
            <v>High</v>
          </cell>
          <cell r="AB2937">
            <v>0</v>
          </cell>
        </row>
        <row r="2938">
          <cell r="B2938" t="str">
            <v>Thivya S</v>
          </cell>
          <cell r="I2938" t="str">
            <v>Correct</v>
          </cell>
          <cell r="J2938">
            <v>1.29</v>
          </cell>
          <cell r="K2938" t="str">
            <v>High</v>
          </cell>
          <cell r="AB2938">
            <v>3</v>
          </cell>
        </row>
        <row r="2939">
          <cell r="B2939" t="str">
            <v>Thivya S</v>
          </cell>
          <cell r="I2939" t="str">
            <v>Wrong</v>
          </cell>
          <cell r="J2939">
            <v>1.58</v>
          </cell>
          <cell r="K2939" t="str">
            <v>High</v>
          </cell>
          <cell r="AB2939">
            <v>0</v>
          </cell>
        </row>
        <row r="2940">
          <cell r="B2940" t="str">
            <v>Thivya S</v>
          </cell>
          <cell r="I2940" t="str">
            <v>Wrong</v>
          </cell>
          <cell r="J2940">
            <v>1.28</v>
          </cell>
          <cell r="K2940" t="str">
            <v>High</v>
          </cell>
          <cell r="AB2940">
            <v>0</v>
          </cell>
        </row>
        <row r="2941">
          <cell r="B2941" t="str">
            <v>Thivya S</v>
          </cell>
          <cell r="I2941" t="str">
            <v>Wrong</v>
          </cell>
          <cell r="J2941">
            <v>1.86</v>
          </cell>
          <cell r="K2941" t="str">
            <v>High</v>
          </cell>
          <cell r="AB2941">
            <v>0</v>
          </cell>
        </row>
        <row r="2942">
          <cell r="B2942" t="str">
            <v>Vimal Kumar</v>
          </cell>
          <cell r="I2942" t="str">
            <v>Correct</v>
          </cell>
          <cell r="J2942">
            <v>1.93</v>
          </cell>
          <cell r="K2942" t="str">
            <v>Low</v>
          </cell>
          <cell r="AB2942">
            <v>1.55</v>
          </cell>
        </row>
        <row r="2943">
          <cell r="B2943" t="str">
            <v>Vimal Kumar</v>
          </cell>
          <cell r="I2943" t="str">
            <v>Correct</v>
          </cell>
          <cell r="J2943">
            <v>1.96</v>
          </cell>
          <cell r="K2943" t="str">
            <v>Low</v>
          </cell>
          <cell r="AB2943">
            <v>0.77</v>
          </cell>
        </row>
        <row r="2944">
          <cell r="B2944" t="str">
            <v>Vimal Kumar</v>
          </cell>
          <cell r="I2944" t="str">
            <v>Wrong</v>
          </cell>
          <cell r="J2944">
            <v>1.36</v>
          </cell>
          <cell r="K2944" t="str">
            <v>Low</v>
          </cell>
          <cell r="AB2944">
            <v>0</v>
          </cell>
        </row>
        <row r="2945">
          <cell r="B2945" t="str">
            <v>Vimal Kumar</v>
          </cell>
          <cell r="I2945" t="str">
            <v>Correct</v>
          </cell>
          <cell r="J2945">
            <v>1.94</v>
          </cell>
          <cell r="K2945" t="str">
            <v>Low</v>
          </cell>
          <cell r="AB2945">
            <v>0.77</v>
          </cell>
        </row>
        <row r="2946">
          <cell r="B2946" t="str">
            <v>Vimal Kumar</v>
          </cell>
          <cell r="I2946" t="str">
            <v>Correct</v>
          </cell>
          <cell r="J2946">
            <v>1.3</v>
          </cell>
          <cell r="K2946" t="str">
            <v>Low</v>
          </cell>
          <cell r="AB2946">
            <v>1</v>
          </cell>
        </row>
        <row r="2947">
          <cell r="B2947" t="str">
            <v>Vimal Kumar</v>
          </cell>
          <cell r="I2947" t="str">
            <v>Correct</v>
          </cell>
          <cell r="J2947">
            <v>1.65</v>
          </cell>
          <cell r="K2947" t="str">
            <v>Low</v>
          </cell>
          <cell r="AB2947">
            <v>1.82</v>
          </cell>
        </row>
        <row r="2948">
          <cell r="B2948" t="str">
            <v>Vimal Kumar</v>
          </cell>
          <cell r="I2948" t="str">
            <v>Wrong</v>
          </cell>
          <cell r="J2948">
            <v>1.58</v>
          </cell>
          <cell r="K2948" t="str">
            <v>Low</v>
          </cell>
          <cell r="AB2948">
            <v>0</v>
          </cell>
        </row>
        <row r="2949">
          <cell r="B2949" t="str">
            <v>Vimal Kumar</v>
          </cell>
          <cell r="I2949" t="str">
            <v>Correct</v>
          </cell>
          <cell r="J2949">
            <v>1.54</v>
          </cell>
          <cell r="K2949" t="str">
            <v>Low</v>
          </cell>
          <cell r="AB2949">
            <v>1.95</v>
          </cell>
        </row>
        <row r="2950">
          <cell r="B2950" t="str">
            <v>Vimal Kumar</v>
          </cell>
          <cell r="I2950" t="str">
            <v>Correct</v>
          </cell>
          <cell r="J2950">
            <v>1.01</v>
          </cell>
          <cell r="K2950" t="str">
            <v>Low</v>
          </cell>
          <cell r="AB2950">
            <v>2</v>
          </cell>
        </row>
        <row r="2951">
          <cell r="B2951" t="str">
            <v>Vimal Kumar</v>
          </cell>
          <cell r="I2951" t="str">
            <v>Correct</v>
          </cell>
          <cell r="J2951">
            <v>1.45</v>
          </cell>
          <cell r="K2951" t="str">
            <v>Medium</v>
          </cell>
          <cell r="AB2951">
            <v>2</v>
          </cell>
        </row>
        <row r="2952">
          <cell r="B2952" t="str">
            <v>Vimal Kumar</v>
          </cell>
          <cell r="I2952" t="str">
            <v>Wrong</v>
          </cell>
          <cell r="J2952">
            <v>1.26</v>
          </cell>
          <cell r="K2952" t="str">
            <v>Medium</v>
          </cell>
          <cell r="AB2952">
            <v>0</v>
          </cell>
        </row>
        <row r="2953">
          <cell r="B2953" t="str">
            <v>Vimal Kumar</v>
          </cell>
          <cell r="I2953" t="str">
            <v>Correct</v>
          </cell>
          <cell r="J2953">
            <v>1.67</v>
          </cell>
          <cell r="K2953" t="str">
            <v>Medium</v>
          </cell>
          <cell r="AB2953">
            <v>2</v>
          </cell>
        </row>
        <row r="2954">
          <cell r="B2954" t="str">
            <v>Vimal Kumar</v>
          </cell>
          <cell r="I2954" t="str">
            <v>Wrong</v>
          </cell>
          <cell r="J2954">
            <v>2.23</v>
          </cell>
          <cell r="K2954" t="str">
            <v>Medium</v>
          </cell>
          <cell r="AB2954">
            <v>0</v>
          </cell>
        </row>
        <row r="2955">
          <cell r="B2955" t="str">
            <v>Vimal Kumar</v>
          </cell>
          <cell r="I2955" t="str">
            <v>Correct</v>
          </cell>
          <cell r="J2955">
            <v>2.0299999999999998</v>
          </cell>
          <cell r="K2955" t="str">
            <v>Medium</v>
          </cell>
          <cell r="AB2955">
            <v>1.77</v>
          </cell>
        </row>
        <row r="2956">
          <cell r="B2956" t="str">
            <v>Vimal Kumar</v>
          </cell>
          <cell r="I2956" t="str">
            <v>Correct</v>
          </cell>
          <cell r="J2956">
            <v>2.14</v>
          </cell>
          <cell r="K2956" t="str">
            <v>Medium</v>
          </cell>
          <cell r="AB2956">
            <v>1.68</v>
          </cell>
        </row>
        <row r="2957">
          <cell r="B2957" t="str">
            <v>Vimal Kumar</v>
          </cell>
          <cell r="I2957" t="str">
            <v>Wrong</v>
          </cell>
          <cell r="J2957">
            <v>2.4900000000000002</v>
          </cell>
          <cell r="K2957" t="str">
            <v>High</v>
          </cell>
          <cell r="AB2957">
            <v>0</v>
          </cell>
        </row>
        <row r="2958">
          <cell r="B2958" t="str">
            <v>Vimal Kumar</v>
          </cell>
          <cell r="I2958" t="str">
            <v>Wrong</v>
          </cell>
          <cell r="J2958">
            <v>1.74</v>
          </cell>
          <cell r="K2958" t="str">
            <v>High</v>
          </cell>
          <cell r="AB2958">
            <v>0</v>
          </cell>
        </row>
        <row r="2959">
          <cell r="B2959" t="str">
            <v>Vimal Kumar</v>
          </cell>
          <cell r="I2959" t="str">
            <v>Correct</v>
          </cell>
          <cell r="J2959">
            <v>2.4700000000000002</v>
          </cell>
          <cell r="K2959" t="str">
            <v>High</v>
          </cell>
          <cell r="AB2959">
            <v>2.4300000000000002</v>
          </cell>
        </row>
        <row r="2960">
          <cell r="B2960" t="str">
            <v>Vimal Kumar</v>
          </cell>
          <cell r="I2960" t="str">
            <v>Correct</v>
          </cell>
          <cell r="J2960">
            <v>2.31</v>
          </cell>
          <cell r="K2960" t="str">
            <v>High</v>
          </cell>
          <cell r="AB2960">
            <v>2.6</v>
          </cell>
        </row>
        <row r="2961">
          <cell r="B2961" t="str">
            <v>Vimal Kumar</v>
          </cell>
          <cell r="I2961" t="str">
            <v>Wrong</v>
          </cell>
          <cell r="J2961">
            <v>1.99</v>
          </cell>
          <cell r="K2961" t="str">
            <v>High</v>
          </cell>
          <cell r="AB2961">
            <v>0</v>
          </cell>
        </row>
        <row r="2962">
          <cell r="B2962" t="str">
            <v>Yogalakshmi M</v>
          </cell>
          <cell r="I2962" t="str">
            <v>Correct</v>
          </cell>
          <cell r="J2962">
            <v>1.87</v>
          </cell>
          <cell r="K2962" t="str">
            <v>Low</v>
          </cell>
          <cell r="AB2962">
            <v>1.6</v>
          </cell>
        </row>
        <row r="2963">
          <cell r="B2963" t="str">
            <v>Yogalakshmi M</v>
          </cell>
          <cell r="I2963" t="str">
            <v>Correct</v>
          </cell>
          <cell r="J2963">
            <v>0.98</v>
          </cell>
          <cell r="K2963" t="str">
            <v>Low</v>
          </cell>
          <cell r="AB2963">
            <v>1</v>
          </cell>
        </row>
        <row r="2964">
          <cell r="B2964" t="str">
            <v>Yogalakshmi M</v>
          </cell>
          <cell r="I2964" t="str">
            <v>Correct</v>
          </cell>
          <cell r="J2964">
            <v>1.1100000000000001</v>
          </cell>
          <cell r="K2964" t="str">
            <v>Low</v>
          </cell>
          <cell r="AB2964">
            <v>2</v>
          </cell>
        </row>
        <row r="2965">
          <cell r="B2965" t="str">
            <v>Yogalakshmi M</v>
          </cell>
          <cell r="I2965" t="str">
            <v>Wrong</v>
          </cell>
          <cell r="J2965">
            <v>1.85</v>
          </cell>
          <cell r="K2965" t="str">
            <v>Low</v>
          </cell>
          <cell r="AB2965">
            <v>0</v>
          </cell>
        </row>
        <row r="2966">
          <cell r="B2966" t="str">
            <v>Yogalakshmi M</v>
          </cell>
          <cell r="I2966" t="str">
            <v>Correct</v>
          </cell>
          <cell r="J2966">
            <v>1.33</v>
          </cell>
          <cell r="K2966" t="str">
            <v>Low</v>
          </cell>
          <cell r="AB2966">
            <v>1</v>
          </cell>
        </row>
        <row r="2967">
          <cell r="B2967" t="str">
            <v>Yogalakshmi M</v>
          </cell>
          <cell r="I2967" t="str">
            <v>Correct</v>
          </cell>
          <cell r="J2967">
            <v>1.46</v>
          </cell>
          <cell r="K2967" t="str">
            <v>Low</v>
          </cell>
          <cell r="AB2967">
            <v>2</v>
          </cell>
        </row>
        <row r="2968">
          <cell r="B2968" t="str">
            <v>Yogalakshmi M</v>
          </cell>
          <cell r="I2968" t="str">
            <v>Correct</v>
          </cell>
          <cell r="J2968">
            <v>1.5</v>
          </cell>
          <cell r="K2968" t="str">
            <v>Low</v>
          </cell>
          <cell r="AB2968">
            <v>1</v>
          </cell>
        </row>
        <row r="2969">
          <cell r="B2969" t="str">
            <v>Yogalakshmi M</v>
          </cell>
          <cell r="I2969" t="str">
            <v>Correct</v>
          </cell>
          <cell r="J2969">
            <v>1.06</v>
          </cell>
          <cell r="K2969" t="str">
            <v>Low</v>
          </cell>
          <cell r="AB2969">
            <v>2</v>
          </cell>
        </row>
        <row r="2970">
          <cell r="B2970" t="str">
            <v>Yogalakshmi M</v>
          </cell>
          <cell r="I2970" t="str">
            <v>Correct</v>
          </cell>
          <cell r="J2970">
            <v>1.91</v>
          </cell>
          <cell r="K2970" t="str">
            <v>Low</v>
          </cell>
          <cell r="AB2970">
            <v>1.57</v>
          </cell>
        </row>
        <row r="2971">
          <cell r="B2971" t="str">
            <v>Yogalakshmi M</v>
          </cell>
          <cell r="I2971" t="str">
            <v>Correct</v>
          </cell>
          <cell r="J2971">
            <v>1.1499999999999999</v>
          </cell>
          <cell r="K2971" t="str">
            <v>Medium</v>
          </cell>
          <cell r="AB2971">
            <v>2</v>
          </cell>
        </row>
        <row r="2972">
          <cell r="B2972" t="str">
            <v>Yogalakshmi M</v>
          </cell>
          <cell r="I2972" t="str">
            <v>Correct</v>
          </cell>
          <cell r="J2972">
            <v>1.66</v>
          </cell>
          <cell r="K2972" t="str">
            <v>Medium</v>
          </cell>
          <cell r="AB2972">
            <v>2</v>
          </cell>
        </row>
        <row r="2973">
          <cell r="B2973" t="str">
            <v>Yogalakshmi M</v>
          </cell>
          <cell r="I2973" t="str">
            <v>Wrong</v>
          </cell>
          <cell r="J2973">
            <v>1.51</v>
          </cell>
          <cell r="K2973" t="str">
            <v>Medium</v>
          </cell>
          <cell r="AB2973">
            <v>0</v>
          </cell>
        </row>
        <row r="2974">
          <cell r="B2974" t="str">
            <v>Yogalakshmi M</v>
          </cell>
          <cell r="I2974" t="str">
            <v>Wrong</v>
          </cell>
          <cell r="J2974">
            <v>1.64</v>
          </cell>
          <cell r="K2974" t="str">
            <v>Medium</v>
          </cell>
          <cell r="AB2974">
            <v>0</v>
          </cell>
        </row>
        <row r="2975">
          <cell r="B2975" t="str">
            <v>Yogalakshmi M</v>
          </cell>
          <cell r="I2975" t="str">
            <v>Correct</v>
          </cell>
          <cell r="J2975">
            <v>1.63</v>
          </cell>
          <cell r="K2975" t="str">
            <v>Medium</v>
          </cell>
          <cell r="AB2975">
            <v>2</v>
          </cell>
        </row>
        <row r="2976">
          <cell r="B2976" t="str">
            <v>Yogalakshmi M</v>
          </cell>
          <cell r="I2976" t="str">
            <v>Correct</v>
          </cell>
          <cell r="J2976">
            <v>1.66</v>
          </cell>
          <cell r="K2976" t="str">
            <v>Medium</v>
          </cell>
          <cell r="AB2976">
            <v>2</v>
          </cell>
        </row>
        <row r="2977">
          <cell r="B2977" t="str">
            <v>Yogalakshmi M</v>
          </cell>
          <cell r="I2977" t="str">
            <v>Correct</v>
          </cell>
          <cell r="J2977">
            <v>1.87</v>
          </cell>
          <cell r="K2977" t="str">
            <v>High</v>
          </cell>
          <cell r="AB2977">
            <v>3</v>
          </cell>
        </row>
        <row r="2978">
          <cell r="B2978" t="str">
            <v>Yogalakshmi M</v>
          </cell>
          <cell r="I2978" t="str">
            <v>Wrong</v>
          </cell>
          <cell r="J2978">
            <v>1.73</v>
          </cell>
          <cell r="K2978" t="str">
            <v>High</v>
          </cell>
          <cell r="AB2978">
            <v>0</v>
          </cell>
        </row>
        <row r="2979">
          <cell r="B2979" t="str">
            <v>Yogalakshmi M</v>
          </cell>
          <cell r="I2979" t="str">
            <v>Correct</v>
          </cell>
          <cell r="J2979">
            <v>2.14</v>
          </cell>
          <cell r="K2979" t="str">
            <v>High</v>
          </cell>
          <cell r="AB2979">
            <v>2.81</v>
          </cell>
        </row>
        <row r="2980">
          <cell r="B2980" t="str">
            <v>Yogalakshmi M</v>
          </cell>
          <cell r="I2980" t="str">
            <v>Correct</v>
          </cell>
          <cell r="J2980">
            <v>1.87</v>
          </cell>
          <cell r="K2980" t="str">
            <v>High</v>
          </cell>
          <cell r="AB2980">
            <v>3</v>
          </cell>
        </row>
        <row r="2981">
          <cell r="B2981" t="str">
            <v>Yogalakshmi M</v>
          </cell>
          <cell r="I2981" t="str">
            <v>Correct</v>
          </cell>
          <cell r="J2981">
            <v>1.78</v>
          </cell>
          <cell r="K2981" t="str">
            <v>High</v>
          </cell>
          <cell r="AB2981">
            <v>3</v>
          </cell>
        </row>
        <row r="2982">
          <cell r="B2982" t="str">
            <v>Ahamed Sheriff</v>
          </cell>
          <cell r="I2982" t="str">
            <v>Correct</v>
          </cell>
          <cell r="J2982">
            <v>1.75</v>
          </cell>
          <cell r="K2982" t="str">
            <v>Low</v>
          </cell>
          <cell r="AB2982">
            <v>1.71</v>
          </cell>
        </row>
        <row r="2983">
          <cell r="B2983" t="str">
            <v>Ahamed Sheriff</v>
          </cell>
          <cell r="I2983" t="str">
            <v>Correct</v>
          </cell>
          <cell r="J2983">
            <v>1.4</v>
          </cell>
          <cell r="K2983" t="str">
            <v>Low</v>
          </cell>
          <cell r="AB2983">
            <v>1</v>
          </cell>
        </row>
        <row r="2984">
          <cell r="B2984" t="str">
            <v>Ahamed Sheriff</v>
          </cell>
          <cell r="I2984" t="str">
            <v>Correct</v>
          </cell>
          <cell r="J2984">
            <v>1.2</v>
          </cell>
          <cell r="K2984" t="str">
            <v>Low</v>
          </cell>
          <cell r="AB2984">
            <v>2</v>
          </cell>
        </row>
        <row r="2985">
          <cell r="B2985" t="str">
            <v>Ahamed Sheriff</v>
          </cell>
          <cell r="I2985" t="str">
            <v>Correct</v>
          </cell>
          <cell r="J2985">
            <v>1.86</v>
          </cell>
          <cell r="K2985" t="str">
            <v>Low</v>
          </cell>
          <cell r="AB2985">
            <v>0.81</v>
          </cell>
        </row>
        <row r="2986">
          <cell r="B2986" t="str">
            <v>Ahamed Sheriff</v>
          </cell>
          <cell r="I2986" t="str">
            <v>Correct</v>
          </cell>
          <cell r="J2986">
            <v>1.76</v>
          </cell>
          <cell r="K2986" t="str">
            <v>Low</v>
          </cell>
          <cell r="AB2986">
            <v>0.85</v>
          </cell>
        </row>
        <row r="2987">
          <cell r="B2987" t="str">
            <v>Ahamed Sheriff</v>
          </cell>
          <cell r="I2987" t="str">
            <v>Correct</v>
          </cell>
          <cell r="J2987">
            <v>1.1399999999999999</v>
          </cell>
          <cell r="K2987" t="str">
            <v>Low</v>
          </cell>
          <cell r="AB2987">
            <v>2</v>
          </cell>
        </row>
        <row r="2988">
          <cell r="B2988" t="str">
            <v>Ahamed Sheriff</v>
          </cell>
          <cell r="I2988" t="str">
            <v>Correct</v>
          </cell>
          <cell r="J2988">
            <v>1.04</v>
          </cell>
          <cell r="K2988" t="str">
            <v>Low</v>
          </cell>
          <cell r="AB2988">
            <v>1</v>
          </cell>
        </row>
        <row r="2989">
          <cell r="B2989" t="str">
            <v>Ahamed Sheriff</v>
          </cell>
          <cell r="I2989" t="str">
            <v>Wrong</v>
          </cell>
          <cell r="J2989">
            <v>0.99</v>
          </cell>
          <cell r="K2989" t="str">
            <v>Low</v>
          </cell>
          <cell r="AB2989">
            <v>0</v>
          </cell>
        </row>
        <row r="2990">
          <cell r="B2990" t="str">
            <v>Ahamed Sheriff</v>
          </cell>
          <cell r="I2990" t="str">
            <v>Correct</v>
          </cell>
          <cell r="J2990">
            <v>1.21</v>
          </cell>
          <cell r="K2990" t="str">
            <v>Low</v>
          </cell>
          <cell r="AB2990">
            <v>2</v>
          </cell>
        </row>
        <row r="2991">
          <cell r="B2991" t="str">
            <v>Ahamed Sheriff</v>
          </cell>
          <cell r="I2991" t="str">
            <v>Correct</v>
          </cell>
          <cell r="J2991">
            <v>1.1599999999999999</v>
          </cell>
          <cell r="K2991" t="str">
            <v>Medium</v>
          </cell>
          <cell r="AB2991">
            <v>2</v>
          </cell>
        </row>
        <row r="2992">
          <cell r="B2992" t="str">
            <v>Ahamed Sheriff</v>
          </cell>
          <cell r="I2992" t="str">
            <v>Correct</v>
          </cell>
          <cell r="J2992">
            <v>1.87</v>
          </cell>
          <cell r="K2992" t="str">
            <v>Medium</v>
          </cell>
          <cell r="AB2992">
            <v>1.93</v>
          </cell>
        </row>
        <row r="2993">
          <cell r="B2993" t="str">
            <v>Ahamed Sheriff</v>
          </cell>
          <cell r="I2993" t="str">
            <v>Wrong</v>
          </cell>
          <cell r="J2993">
            <v>1.1200000000000001</v>
          </cell>
          <cell r="K2993" t="str">
            <v>Medium</v>
          </cell>
          <cell r="AB2993">
            <v>0</v>
          </cell>
        </row>
        <row r="2994">
          <cell r="B2994" t="str">
            <v>Ahamed Sheriff</v>
          </cell>
          <cell r="I2994" t="str">
            <v>Correct</v>
          </cell>
          <cell r="J2994">
            <v>2.27</v>
          </cell>
          <cell r="K2994" t="str">
            <v>Medium</v>
          </cell>
          <cell r="AB2994">
            <v>1.59</v>
          </cell>
        </row>
        <row r="2995">
          <cell r="B2995" t="str">
            <v>Ahamed Sheriff</v>
          </cell>
          <cell r="I2995" t="str">
            <v>Correct</v>
          </cell>
          <cell r="J2995">
            <v>2.0099999999999998</v>
          </cell>
          <cell r="K2995" t="str">
            <v>Medium</v>
          </cell>
          <cell r="AB2995">
            <v>1.79</v>
          </cell>
        </row>
        <row r="2996">
          <cell r="B2996" t="str">
            <v>Ahamed Sheriff</v>
          </cell>
          <cell r="I2996" t="str">
            <v>Correct</v>
          </cell>
          <cell r="J2996">
            <v>2.2999999999999998</v>
          </cell>
          <cell r="K2996" t="str">
            <v>Medium</v>
          </cell>
          <cell r="AB2996">
            <v>1.57</v>
          </cell>
        </row>
        <row r="2997">
          <cell r="B2997" t="str">
            <v>Ahamed Sheriff</v>
          </cell>
          <cell r="I2997" t="str">
            <v>Wrong</v>
          </cell>
          <cell r="J2997">
            <v>2.2999999999999998</v>
          </cell>
          <cell r="K2997" t="str">
            <v>High</v>
          </cell>
          <cell r="AB2997">
            <v>0</v>
          </cell>
        </row>
        <row r="2998">
          <cell r="B2998" t="str">
            <v>Ahamed Sheriff</v>
          </cell>
          <cell r="I2998" t="str">
            <v>Correct</v>
          </cell>
          <cell r="J2998">
            <v>2.04</v>
          </cell>
          <cell r="K2998" t="str">
            <v>High</v>
          </cell>
          <cell r="AB2998">
            <v>2.94</v>
          </cell>
        </row>
        <row r="2999">
          <cell r="B2999" t="str">
            <v>Ahamed Sheriff</v>
          </cell>
          <cell r="I2999" t="str">
            <v>Correct</v>
          </cell>
          <cell r="J2999">
            <v>1.93</v>
          </cell>
          <cell r="K2999" t="str">
            <v>High</v>
          </cell>
          <cell r="AB2999">
            <v>3</v>
          </cell>
        </row>
        <row r="3000">
          <cell r="B3000" t="str">
            <v>Ahamed Sheriff</v>
          </cell>
          <cell r="I3000" t="str">
            <v>Correct</v>
          </cell>
          <cell r="J3000">
            <v>1.45</v>
          </cell>
          <cell r="K3000" t="str">
            <v>High</v>
          </cell>
          <cell r="AB3000">
            <v>3</v>
          </cell>
        </row>
        <row r="3001">
          <cell r="B3001" t="str">
            <v>Ahamed Sheriff</v>
          </cell>
          <cell r="I3001" t="str">
            <v>Wrong</v>
          </cell>
          <cell r="J3001">
            <v>2.35</v>
          </cell>
          <cell r="K3001" t="str">
            <v>High</v>
          </cell>
          <cell r="AB3001">
            <v>0</v>
          </cell>
        </row>
        <row r="3002">
          <cell r="B3002" t="str">
            <v>Brindha R</v>
          </cell>
          <cell r="I3002" t="str">
            <v>Correct</v>
          </cell>
          <cell r="J3002">
            <v>1.08</v>
          </cell>
          <cell r="K3002" t="str">
            <v>Low</v>
          </cell>
          <cell r="AB3002">
            <v>2</v>
          </cell>
        </row>
        <row r="3003">
          <cell r="B3003" t="str">
            <v>Brindha R</v>
          </cell>
          <cell r="I3003" t="str">
            <v>Correct</v>
          </cell>
          <cell r="J3003">
            <v>1.63</v>
          </cell>
          <cell r="K3003" t="str">
            <v>Low</v>
          </cell>
          <cell r="AB3003">
            <v>0.92</v>
          </cell>
        </row>
        <row r="3004">
          <cell r="B3004" t="str">
            <v>Brindha R</v>
          </cell>
          <cell r="I3004" t="str">
            <v>Correct</v>
          </cell>
          <cell r="J3004">
            <v>1.64</v>
          </cell>
          <cell r="K3004" t="str">
            <v>Low</v>
          </cell>
          <cell r="AB3004">
            <v>1.83</v>
          </cell>
        </row>
        <row r="3005">
          <cell r="B3005" t="str">
            <v>Brindha R</v>
          </cell>
          <cell r="I3005" t="str">
            <v>Correct</v>
          </cell>
          <cell r="J3005">
            <v>1.67</v>
          </cell>
          <cell r="K3005" t="str">
            <v>Low</v>
          </cell>
          <cell r="AB3005">
            <v>0.9</v>
          </cell>
        </row>
        <row r="3006">
          <cell r="B3006" t="str">
            <v>Brindha R</v>
          </cell>
          <cell r="I3006" t="str">
            <v>Wrong</v>
          </cell>
          <cell r="J3006">
            <v>1.95</v>
          </cell>
          <cell r="K3006" t="str">
            <v>Low</v>
          </cell>
          <cell r="AB3006">
            <v>0</v>
          </cell>
        </row>
        <row r="3007">
          <cell r="B3007" t="str">
            <v>Brindha R</v>
          </cell>
          <cell r="I3007" t="str">
            <v>Correct</v>
          </cell>
          <cell r="J3007">
            <v>1.19</v>
          </cell>
          <cell r="K3007" t="str">
            <v>Low</v>
          </cell>
          <cell r="AB3007">
            <v>2</v>
          </cell>
        </row>
        <row r="3008">
          <cell r="B3008" t="str">
            <v>Brindha R</v>
          </cell>
          <cell r="I3008" t="str">
            <v>Correct</v>
          </cell>
          <cell r="J3008">
            <v>1.67</v>
          </cell>
          <cell r="K3008" t="str">
            <v>Low</v>
          </cell>
          <cell r="AB3008">
            <v>0.9</v>
          </cell>
        </row>
        <row r="3009">
          <cell r="B3009" t="str">
            <v>Brindha R</v>
          </cell>
          <cell r="I3009" t="str">
            <v>Correct</v>
          </cell>
          <cell r="J3009">
            <v>0.95</v>
          </cell>
          <cell r="K3009" t="str">
            <v>Low</v>
          </cell>
          <cell r="AB3009">
            <v>2</v>
          </cell>
        </row>
        <row r="3010">
          <cell r="B3010" t="str">
            <v>Brindha R</v>
          </cell>
          <cell r="I3010" t="str">
            <v>Wrong</v>
          </cell>
          <cell r="J3010">
            <v>1.38</v>
          </cell>
          <cell r="K3010" t="str">
            <v>Low</v>
          </cell>
          <cell r="AB3010">
            <v>0</v>
          </cell>
        </row>
        <row r="3011">
          <cell r="B3011" t="str">
            <v>Brindha R</v>
          </cell>
          <cell r="I3011" t="str">
            <v>Correct</v>
          </cell>
          <cell r="J3011">
            <v>1.98</v>
          </cell>
          <cell r="K3011" t="str">
            <v>Medium</v>
          </cell>
          <cell r="AB3011">
            <v>1.82</v>
          </cell>
        </row>
        <row r="3012">
          <cell r="B3012" t="str">
            <v>Brindha R</v>
          </cell>
          <cell r="I3012" t="str">
            <v>Correct</v>
          </cell>
          <cell r="J3012">
            <v>2.17</v>
          </cell>
          <cell r="K3012" t="str">
            <v>Medium</v>
          </cell>
          <cell r="AB3012">
            <v>1.66</v>
          </cell>
        </row>
        <row r="3013">
          <cell r="B3013" t="str">
            <v>Brindha R</v>
          </cell>
          <cell r="I3013" t="str">
            <v>Wrong</v>
          </cell>
          <cell r="J3013">
            <v>1.2</v>
          </cell>
          <cell r="K3013" t="str">
            <v>Medium</v>
          </cell>
          <cell r="AB3013">
            <v>0</v>
          </cell>
        </row>
        <row r="3014">
          <cell r="B3014" t="str">
            <v>Brindha R</v>
          </cell>
          <cell r="I3014" t="str">
            <v>Correct</v>
          </cell>
          <cell r="J3014">
            <v>1.4</v>
          </cell>
          <cell r="K3014" t="str">
            <v>Medium</v>
          </cell>
          <cell r="AB3014">
            <v>2</v>
          </cell>
        </row>
        <row r="3015">
          <cell r="B3015" t="str">
            <v>Brindha R</v>
          </cell>
          <cell r="I3015" t="str">
            <v>Correct</v>
          </cell>
          <cell r="J3015">
            <v>2.14</v>
          </cell>
          <cell r="K3015" t="str">
            <v>Medium</v>
          </cell>
          <cell r="AB3015">
            <v>1.68</v>
          </cell>
        </row>
        <row r="3016">
          <cell r="B3016" t="str">
            <v>Brindha R</v>
          </cell>
          <cell r="I3016" t="str">
            <v>Correct</v>
          </cell>
          <cell r="J3016">
            <v>2.0099999999999998</v>
          </cell>
          <cell r="K3016" t="str">
            <v>Medium</v>
          </cell>
          <cell r="AB3016">
            <v>1.79</v>
          </cell>
        </row>
        <row r="3017">
          <cell r="B3017" t="str">
            <v>Brindha R</v>
          </cell>
          <cell r="I3017" t="str">
            <v>Correct</v>
          </cell>
          <cell r="J3017">
            <v>1.44</v>
          </cell>
          <cell r="K3017" t="str">
            <v>High</v>
          </cell>
          <cell r="AB3017">
            <v>3</v>
          </cell>
        </row>
        <row r="3018">
          <cell r="B3018" t="str">
            <v>Brindha R</v>
          </cell>
          <cell r="I3018" t="str">
            <v>Wrong</v>
          </cell>
          <cell r="J3018">
            <v>1.51</v>
          </cell>
          <cell r="K3018" t="str">
            <v>High</v>
          </cell>
          <cell r="AB3018">
            <v>0</v>
          </cell>
        </row>
        <row r="3019">
          <cell r="B3019" t="str">
            <v>Brindha R</v>
          </cell>
          <cell r="I3019" t="str">
            <v>Wrong</v>
          </cell>
          <cell r="J3019">
            <v>2.4</v>
          </cell>
          <cell r="K3019" t="str">
            <v>High</v>
          </cell>
          <cell r="AB3019">
            <v>0</v>
          </cell>
        </row>
        <row r="3020">
          <cell r="B3020" t="str">
            <v>Brindha R</v>
          </cell>
          <cell r="I3020" t="str">
            <v>Correct</v>
          </cell>
          <cell r="J3020">
            <v>2.2999999999999998</v>
          </cell>
          <cell r="K3020" t="str">
            <v>High</v>
          </cell>
          <cell r="AB3020">
            <v>2.61</v>
          </cell>
        </row>
        <row r="3021">
          <cell r="B3021" t="str">
            <v>Brindha R</v>
          </cell>
          <cell r="I3021" t="str">
            <v>Wrong</v>
          </cell>
          <cell r="J3021">
            <v>1.84</v>
          </cell>
          <cell r="K3021" t="str">
            <v>High</v>
          </cell>
          <cell r="AB3021">
            <v>0</v>
          </cell>
        </row>
        <row r="3022">
          <cell r="B3022" t="str">
            <v>Chellapandian M</v>
          </cell>
          <cell r="I3022" t="str">
            <v>Correct</v>
          </cell>
          <cell r="J3022">
            <v>1.89</v>
          </cell>
          <cell r="K3022" t="str">
            <v>Low</v>
          </cell>
          <cell r="AB3022">
            <v>1.59</v>
          </cell>
        </row>
        <row r="3023">
          <cell r="B3023" t="str">
            <v>Chellapandian M</v>
          </cell>
          <cell r="I3023" t="str">
            <v>Wrong</v>
          </cell>
          <cell r="J3023">
            <v>0.92</v>
          </cell>
          <cell r="K3023" t="str">
            <v>Low</v>
          </cell>
          <cell r="AB3023">
            <v>0</v>
          </cell>
        </row>
        <row r="3024">
          <cell r="B3024" t="str">
            <v>Chellapandian M</v>
          </cell>
          <cell r="I3024" t="str">
            <v>Wrong</v>
          </cell>
          <cell r="J3024">
            <v>1.22</v>
          </cell>
          <cell r="K3024" t="str">
            <v>Low</v>
          </cell>
          <cell r="AB3024">
            <v>0</v>
          </cell>
        </row>
        <row r="3025">
          <cell r="B3025" t="str">
            <v>Chellapandian M</v>
          </cell>
          <cell r="I3025" t="str">
            <v>Correct</v>
          </cell>
          <cell r="J3025">
            <v>1.63</v>
          </cell>
          <cell r="K3025" t="str">
            <v>Low</v>
          </cell>
          <cell r="AB3025">
            <v>0.92</v>
          </cell>
        </row>
        <row r="3026">
          <cell r="B3026" t="str">
            <v>Chellapandian M</v>
          </cell>
          <cell r="I3026" t="str">
            <v>Wrong</v>
          </cell>
          <cell r="J3026">
            <v>1.89</v>
          </cell>
          <cell r="K3026" t="str">
            <v>Low</v>
          </cell>
          <cell r="AB3026">
            <v>0</v>
          </cell>
        </row>
        <row r="3027">
          <cell r="B3027" t="str">
            <v>Chellapandian M</v>
          </cell>
          <cell r="I3027" t="str">
            <v>Correct</v>
          </cell>
          <cell r="J3027">
            <v>1.59</v>
          </cell>
          <cell r="K3027" t="str">
            <v>Low</v>
          </cell>
          <cell r="AB3027">
            <v>1.89</v>
          </cell>
        </row>
        <row r="3028">
          <cell r="B3028" t="str">
            <v>Chellapandian M</v>
          </cell>
          <cell r="I3028" t="str">
            <v>Correct</v>
          </cell>
          <cell r="J3028">
            <v>1.9</v>
          </cell>
          <cell r="K3028" t="str">
            <v>Low</v>
          </cell>
          <cell r="AB3028">
            <v>0.79</v>
          </cell>
        </row>
        <row r="3029">
          <cell r="B3029" t="str">
            <v>Chellapandian M</v>
          </cell>
          <cell r="I3029" t="str">
            <v>Correct</v>
          </cell>
          <cell r="J3029">
            <v>1.1599999999999999</v>
          </cell>
          <cell r="K3029" t="str">
            <v>Low</v>
          </cell>
          <cell r="AB3029">
            <v>2</v>
          </cell>
        </row>
        <row r="3030">
          <cell r="B3030" t="str">
            <v>Chellapandian M</v>
          </cell>
          <cell r="I3030" t="str">
            <v>Correct</v>
          </cell>
          <cell r="J3030">
            <v>1.1200000000000001</v>
          </cell>
          <cell r="K3030" t="str">
            <v>Low</v>
          </cell>
          <cell r="AB3030">
            <v>2</v>
          </cell>
        </row>
        <row r="3031">
          <cell r="B3031" t="str">
            <v>Chellapandian M</v>
          </cell>
          <cell r="I3031" t="str">
            <v>Wrong</v>
          </cell>
          <cell r="J3031">
            <v>1.1200000000000001</v>
          </cell>
          <cell r="K3031" t="str">
            <v>Medium</v>
          </cell>
          <cell r="AB3031">
            <v>0</v>
          </cell>
        </row>
        <row r="3032">
          <cell r="B3032" t="str">
            <v>Chellapandian M</v>
          </cell>
          <cell r="I3032" t="str">
            <v>Wrong</v>
          </cell>
          <cell r="J3032">
            <v>2.0299999999999998</v>
          </cell>
          <cell r="K3032" t="str">
            <v>Medium</v>
          </cell>
          <cell r="AB3032">
            <v>0</v>
          </cell>
        </row>
        <row r="3033">
          <cell r="B3033" t="str">
            <v>Chellapandian M</v>
          </cell>
          <cell r="I3033" t="str">
            <v>Wrong</v>
          </cell>
          <cell r="J3033">
            <v>1.2</v>
          </cell>
          <cell r="K3033" t="str">
            <v>Medium</v>
          </cell>
          <cell r="AB3033">
            <v>0</v>
          </cell>
        </row>
        <row r="3034">
          <cell r="B3034" t="str">
            <v>Chellapandian M</v>
          </cell>
          <cell r="I3034" t="str">
            <v>Wrong</v>
          </cell>
          <cell r="J3034">
            <v>1.24</v>
          </cell>
          <cell r="K3034" t="str">
            <v>Medium</v>
          </cell>
          <cell r="AB3034">
            <v>0</v>
          </cell>
        </row>
        <row r="3035">
          <cell r="B3035" t="str">
            <v>Chellapandian M</v>
          </cell>
          <cell r="I3035" t="str">
            <v>Correct</v>
          </cell>
          <cell r="J3035">
            <v>1.81</v>
          </cell>
          <cell r="K3035" t="str">
            <v>Medium</v>
          </cell>
          <cell r="AB3035">
            <v>1.99</v>
          </cell>
        </row>
        <row r="3036">
          <cell r="B3036" t="str">
            <v>Chellapandian M</v>
          </cell>
          <cell r="I3036" t="str">
            <v>Wrong</v>
          </cell>
          <cell r="J3036">
            <v>1.31</v>
          </cell>
          <cell r="K3036" t="str">
            <v>Medium</v>
          </cell>
          <cell r="AB3036">
            <v>0</v>
          </cell>
        </row>
        <row r="3037">
          <cell r="B3037" t="str">
            <v>Chellapandian M</v>
          </cell>
          <cell r="I3037" t="str">
            <v>Correct</v>
          </cell>
          <cell r="J3037">
            <v>1.81</v>
          </cell>
          <cell r="K3037" t="str">
            <v>High</v>
          </cell>
          <cell r="AB3037">
            <v>3</v>
          </cell>
        </row>
        <row r="3038">
          <cell r="B3038" t="str">
            <v>Chellapandian M</v>
          </cell>
          <cell r="I3038" t="str">
            <v>Wrong</v>
          </cell>
          <cell r="J3038">
            <v>1.59</v>
          </cell>
          <cell r="K3038" t="str">
            <v>High</v>
          </cell>
          <cell r="AB3038">
            <v>0</v>
          </cell>
        </row>
        <row r="3039">
          <cell r="B3039" t="str">
            <v>Chellapandian M</v>
          </cell>
          <cell r="I3039" t="str">
            <v>Wrong</v>
          </cell>
          <cell r="J3039">
            <v>1.76</v>
          </cell>
          <cell r="K3039" t="str">
            <v>High</v>
          </cell>
          <cell r="AB3039">
            <v>0</v>
          </cell>
        </row>
        <row r="3040">
          <cell r="B3040" t="str">
            <v>Chellapandian M</v>
          </cell>
          <cell r="I3040" t="str">
            <v>Wrong</v>
          </cell>
          <cell r="J3040">
            <v>1.7</v>
          </cell>
          <cell r="K3040" t="str">
            <v>High</v>
          </cell>
          <cell r="AB3040">
            <v>0</v>
          </cell>
        </row>
        <row r="3041">
          <cell r="B3041" t="str">
            <v>Chellapandian M</v>
          </cell>
          <cell r="I3041" t="str">
            <v>Correct</v>
          </cell>
          <cell r="J3041">
            <v>1.5</v>
          </cell>
          <cell r="K3041" t="str">
            <v>High</v>
          </cell>
          <cell r="AB3041">
            <v>3</v>
          </cell>
        </row>
        <row r="3042">
          <cell r="B3042" t="str">
            <v>Dinesh Raj</v>
          </cell>
          <cell r="I3042" t="str">
            <v>Correct</v>
          </cell>
          <cell r="J3042">
            <v>1.18</v>
          </cell>
          <cell r="K3042" t="str">
            <v>Low</v>
          </cell>
          <cell r="AB3042">
            <v>2</v>
          </cell>
        </row>
        <row r="3043">
          <cell r="B3043" t="str">
            <v>Dinesh Raj</v>
          </cell>
          <cell r="I3043" t="str">
            <v>Correct</v>
          </cell>
          <cell r="J3043">
            <v>1.8</v>
          </cell>
          <cell r="K3043" t="str">
            <v>Low</v>
          </cell>
          <cell r="AB3043">
            <v>0.83</v>
          </cell>
        </row>
        <row r="3044">
          <cell r="B3044" t="str">
            <v>Dinesh Raj</v>
          </cell>
          <cell r="I3044" t="str">
            <v>Correct</v>
          </cell>
          <cell r="J3044">
            <v>1.1299999999999999</v>
          </cell>
          <cell r="K3044" t="str">
            <v>Low</v>
          </cell>
          <cell r="AB3044">
            <v>2</v>
          </cell>
        </row>
        <row r="3045">
          <cell r="B3045" t="str">
            <v>Dinesh Raj</v>
          </cell>
          <cell r="I3045" t="str">
            <v>Correct</v>
          </cell>
          <cell r="J3045">
            <v>1.5</v>
          </cell>
          <cell r="K3045" t="str">
            <v>Low</v>
          </cell>
          <cell r="AB3045">
            <v>1</v>
          </cell>
        </row>
        <row r="3046">
          <cell r="B3046" t="str">
            <v>Dinesh Raj</v>
          </cell>
          <cell r="I3046" t="str">
            <v>Correct</v>
          </cell>
          <cell r="J3046">
            <v>1.68</v>
          </cell>
          <cell r="K3046" t="str">
            <v>Low</v>
          </cell>
          <cell r="AB3046">
            <v>0.89</v>
          </cell>
        </row>
        <row r="3047">
          <cell r="B3047" t="str">
            <v>Dinesh Raj</v>
          </cell>
          <cell r="I3047" t="str">
            <v>Wrong</v>
          </cell>
          <cell r="J3047">
            <v>0.94</v>
          </cell>
          <cell r="K3047" t="str">
            <v>Low</v>
          </cell>
          <cell r="AB3047">
            <v>0</v>
          </cell>
        </row>
        <row r="3048">
          <cell r="B3048" t="str">
            <v>Dinesh Raj</v>
          </cell>
          <cell r="I3048" t="str">
            <v>Correct</v>
          </cell>
          <cell r="J3048">
            <v>1.2</v>
          </cell>
          <cell r="K3048" t="str">
            <v>Low</v>
          </cell>
          <cell r="AB3048">
            <v>1</v>
          </cell>
        </row>
        <row r="3049">
          <cell r="B3049" t="str">
            <v>Dinesh Raj</v>
          </cell>
          <cell r="I3049" t="str">
            <v>Correct</v>
          </cell>
          <cell r="J3049">
            <v>1.35</v>
          </cell>
          <cell r="K3049" t="str">
            <v>Low</v>
          </cell>
          <cell r="AB3049">
            <v>2</v>
          </cell>
        </row>
        <row r="3050">
          <cell r="B3050" t="str">
            <v>Dinesh Raj</v>
          </cell>
          <cell r="I3050" t="str">
            <v>Correct</v>
          </cell>
          <cell r="J3050">
            <v>1.7</v>
          </cell>
          <cell r="K3050" t="str">
            <v>Low</v>
          </cell>
          <cell r="AB3050">
            <v>1.76</v>
          </cell>
        </row>
        <row r="3051">
          <cell r="B3051" t="str">
            <v>Dinesh Raj</v>
          </cell>
          <cell r="I3051" t="str">
            <v>Correct</v>
          </cell>
          <cell r="J3051">
            <v>1.74</v>
          </cell>
          <cell r="K3051" t="str">
            <v>Medium</v>
          </cell>
          <cell r="AB3051">
            <v>2</v>
          </cell>
        </row>
        <row r="3052">
          <cell r="B3052" t="str">
            <v>Dinesh Raj</v>
          </cell>
          <cell r="I3052" t="str">
            <v>Correct</v>
          </cell>
          <cell r="J3052">
            <v>1.43</v>
          </cell>
          <cell r="K3052" t="str">
            <v>Medium</v>
          </cell>
          <cell r="AB3052">
            <v>2</v>
          </cell>
        </row>
        <row r="3053">
          <cell r="B3053" t="str">
            <v>Dinesh Raj</v>
          </cell>
          <cell r="I3053" t="str">
            <v>Wrong</v>
          </cell>
          <cell r="J3053">
            <v>1.4</v>
          </cell>
          <cell r="K3053" t="str">
            <v>Medium</v>
          </cell>
          <cell r="AB3053">
            <v>0</v>
          </cell>
        </row>
        <row r="3054">
          <cell r="B3054" t="str">
            <v>Dinesh Raj</v>
          </cell>
          <cell r="I3054" t="str">
            <v>Correct</v>
          </cell>
          <cell r="J3054">
            <v>2.06</v>
          </cell>
          <cell r="K3054" t="str">
            <v>Medium</v>
          </cell>
          <cell r="AB3054">
            <v>1.75</v>
          </cell>
        </row>
        <row r="3055">
          <cell r="B3055" t="str">
            <v>Dinesh Raj</v>
          </cell>
          <cell r="I3055" t="str">
            <v>Correct</v>
          </cell>
          <cell r="J3055">
            <v>1.76</v>
          </cell>
          <cell r="K3055" t="str">
            <v>Medium</v>
          </cell>
          <cell r="AB3055">
            <v>2</v>
          </cell>
        </row>
        <row r="3056">
          <cell r="B3056" t="str">
            <v>Dinesh Raj</v>
          </cell>
          <cell r="I3056" t="str">
            <v>Correct</v>
          </cell>
          <cell r="J3056">
            <v>2.04</v>
          </cell>
          <cell r="K3056" t="str">
            <v>Medium</v>
          </cell>
          <cell r="AB3056">
            <v>1.76</v>
          </cell>
        </row>
        <row r="3057">
          <cell r="B3057" t="str">
            <v>Dinesh Raj</v>
          </cell>
          <cell r="I3057" t="str">
            <v>Wrong</v>
          </cell>
          <cell r="J3057">
            <v>1.47</v>
          </cell>
          <cell r="K3057" t="str">
            <v>High</v>
          </cell>
          <cell r="AB3057">
            <v>0</v>
          </cell>
        </row>
        <row r="3058">
          <cell r="B3058" t="str">
            <v>Dinesh Raj</v>
          </cell>
          <cell r="I3058" t="str">
            <v>Wrong</v>
          </cell>
          <cell r="J3058">
            <v>1.89</v>
          </cell>
          <cell r="K3058" t="str">
            <v>High</v>
          </cell>
          <cell r="AB3058">
            <v>0</v>
          </cell>
        </row>
        <row r="3059">
          <cell r="B3059" t="str">
            <v>Dinesh Raj</v>
          </cell>
          <cell r="I3059" t="str">
            <v>Wrong</v>
          </cell>
          <cell r="J3059">
            <v>2.59</v>
          </cell>
          <cell r="K3059" t="str">
            <v>High</v>
          </cell>
          <cell r="AB3059">
            <v>0</v>
          </cell>
        </row>
        <row r="3060">
          <cell r="B3060" t="str">
            <v>Dinesh Raj</v>
          </cell>
          <cell r="I3060" t="str">
            <v>Wrong</v>
          </cell>
          <cell r="J3060">
            <v>1.96</v>
          </cell>
          <cell r="K3060" t="str">
            <v>High</v>
          </cell>
          <cell r="AB3060">
            <v>0</v>
          </cell>
        </row>
        <row r="3061">
          <cell r="B3061" t="str">
            <v>Dinesh Raj</v>
          </cell>
          <cell r="I3061" t="str">
            <v>Correct</v>
          </cell>
          <cell r="J3061">
            <v>2.12</v>
          </cell>
          <cell r="K3061" t="str">
            <v>High</v>
          </cell>
          <cell r="AB3061">
            <v>2.83</v>
          </cell>
        </row>
        <row r="3062">
          <cell r="B3062" t="str">
            <v>Ezhil Arasan</v>
          </cell>
          <cell r="I3062" t="str">
            <v>Correct</v>
          </cell>
          <cell r="J3062">
            <v>1.44</v>
          </cell>
          <cell r="K3062" t="str">
            <v>Low</v>
          </cell>
          <cell r="AB3062">
            <v>2</v>
          </cell>
        </row>
        <row r="3063">
          <cell r="B3063" t="str">
            <v>Ezhil Arasan</v>
          </cell>
          <cell r="I3063" t="str">
            <v>Correct</v>
          </cell>
          <cell r="J3063">
            <v>1.56</v>
          </cell>
          <cell r="K3063" t="str">
            <v>Low</v>
          </cell>
          <cell r="AB3063">
            <v>0.96</v>
          </cell>
        </row>
        <row r="3064">
          <cell r="B3064" t="str">
            <v>Ezhil Arasan</v>
          </cell>
          <cell r="I3064" t="str">
            <v>Correct</v>
          </cell>
          <cell r="J3064">
            <v>1.58</v>
          </cell>
          <cell r="K3064" t="str">
            <v>Low</v>
          </cell>
          <cell r="AB3064">
            <v>1.9</v>
          </cell>
        </row>
        <row r="3065">
          <cell r="B3065" t="str">
            <v>Ezhil Arasan</v>
          </cell>
          <cell r="I3065" t="str">
            <v>Correct</v>
          </cell>
          <cell r="J3065">
            <v>1.61</v>
          </cell>
          <cell r="K3065" t="str">
            <v>Low</v>
          </cell>
          <cell r="AB3065">
            <v>0.93</v>
          </cell>
        </row>
        <row r="3066">
          <cell r="B3066" t="str">
            <v>Ezhil Arasan</v>
          </cell>
          <cell r="I3066" t="str">
            <v>Correct</v>
          </cell>
          <cell r="J3066">
            <v>1.31</v>
          </cell>
          <cell r="K3066" t="str">
            <v>Low</v>
          </cell>
          <cell r="AB3066">
            <v>1</v>
          </cell>
        </row>
        <row r="3067">
          <cell r="B3067" t="str">
            <v>Ezhil Arasan</v>
          </cell>
          <cell r="I3067" t="str">
            <v>Correct</v>
          </cell>
          <cell r="J3067">
            <v>1.58</v>
          </cell>
          <cell r="K3067" t="str">
            <v>Low</v>
          </cell>
          <cell r="AB3067">
            <v>1.9</v>
          </cell>
        </row>
        <row r="3068">
          <cell r="B3068" t="str">
            <v>Ezhil Arasan</v>
          </cell>
          <cell r="I3068" t="str">
            <v>Correct</v>
          </cell>
          <cell r="J3068">
            <v>1.0900000000000001</v>
          </cell>
          <cell r="K3068" t="str">
            <v>Low</v>
          </cell>
          <cell r="AB3068">
            <v>1</v>
          </cell>
        </row>
        <row r="3069">
          <cell r="B3069" t="str">
            <v>Ezhil Arasan</v>
          </cell>
          <cell r="I3069" t="str">
            <v>Correct</v>
          </cell>
          <cell r="J3069">
            <v>1.74</v>
          </cell>
          <cell r="K3069" t="str">
            <v>Low</v>
          </cell>
          <cell r="AB3069">
            <v>1.72</v>
          </cell>
        </row>
        <row r="3070">
          <cell r="B3070" t="str">
            <v>Ezhil Arasan</v>
          </cell>
          <cell r="I3070" t="str">
            <v>Wrong</v>
          </cell>
          <cell r="J3070">
            <v>1.1599999999999999</v>
          </cell>
          <cell r="K3070" t="str">
            <v>Low</v>
          </cell>
          <cell r="AB3070">
            <v>0</v>
          </cell>
        </row>
        <row r="3071">
          <cell r="B3071" t="str">
            <v>Ezhil Arasan</v>
          </cell>
          <cell r="I3071" t="str">
            <v>Correct</v>
          </cell>
          <cell r="J3071">
            <v>1.36</v>
          </cell>
          <cell r="K3071" t="str">
            <v>Medium</v>
          </cell>
          <cell r="AB3071">
            <v>2</v>
          </cell>
        </row>
        <row r="3072">
          <cell r="B3072" t="str">
            <v>Ezhil Arasan</v>
          </cell>
          <cell r="I3072" t="str">
            <v>Correct</v>
          </cell>
          <cell r="J3072">
            <v>1.63</v>
          </cell>
          <cell r="K3072" t="str">
            <v>Medium</v>
          </cell>
          <cell r="AB3072">
            <v>2</v>
          </cell>
        </row>
        <row r="3073">
          <cell r="B3073" t="str">
            <v>Ezhil Arasan</v>
          </cell>
          <cell r="I3073" t="str">
            <v>Correct</v>
          </cell>
          <cell r="J3073">
            <v>1.43</v>
          </cell>
          <cell r="K3073" t="str">
            <v>Medium</v>
          </cell>
          <cell r="AB3073">
            <v>2</v>
          </cell>
        </row>
        <row r="3074">
          <cell r="B3074" t="str">
            <v>Ezhil Arasan</v>
          </cell>
          <cell r="I3074" t="str">
            <v>Correct</v>
          </cell>
          <cell r="J3074">
            <v>2.15</v>
          </cell>
          <cell r="K3074" t="str">
            <v>Medium</v>
          </cell>
          <cell r="AB3074">
            <v>1.67</v>
          </cell>
        </row>
        <row r="3075">
          <cell r="B3075" t="str">
            <v>Ezhil Arasan</v>
          </cell>
          <cell r="I3075" t="str">
            <v>Correct</v>
          </cell>
          <cell r="J3075">
            <v>1.98</v>
          </cell>
          <cell r="K3075" t="str">
            <v>Medium</v>
          </cell>
          <cell r="AB3075">
            <v>1.82</v>
          </cell>
        </row>
        <row r="3076">
          <cell r="B3076" t="str">
            <v>Ezhil Arasan</v>
          </cell>
          <cell r="I3076" t="str">
            <v>Wrong</v>
          </cell>
          <cell r="J3076">
            <v>1.21</v>
          </cell>
          <cell r="K3076" t="str">
            <v>Medium</v>
          </cell>
          <cell r="AB3076">
            <v>0</v>
          </cell>
        </row>
        <row r="3077">
          <cell r="B3077" t="str">
            <v>Ezhil Arasan</v>
          </cell>
          <cell r="I3077" t="str">
            <v>Correct</v>
          </cell>
          <cell r="J3077">
            <v>1.68</v>
          </cell>
          <cell r="K3077" t="str">
            <v>High</v>
          </cell>
          <cell r="AB3077">
            <v>3</v>
          </cell>
        </row>
        <row r="3078">
          <cell r="B3078" t="str">
            <v>Ezhil Arasan</v>
          </cell>
          <cell r="I3078" t="str">
            <v>Correct</v>
          </cell>
          <cell r="J3078">
            <v>1.37</v>
          </cell>
          <cell r="K3078" t="str">
            <v>High</v>
          </cell>
          <cell r="AB3078">
            <v>3</v>
          </cell>
        </row>
        <row r="3079">
          <cell r="B3079" t="str">
            <v>Ezhil Arasan</v>
          </cell>
          <cell r="I3079" t="str">
            <v>Correct</v>
          </cell>
          <cell r="J3079">
            <v>1.38</v>
          </cell>
          <cell r="K3079" t="str">
            <v>High</v>
          </cell>
          <cell r="AB3079">
            <v>3</v>
          </cell>
        </row>
        <row r="3080">
          <cell r="B3080" t="str">
            <v>Ezhil Arasan</v>
          </cell>
          <cell r="I3080" t="str">
            <v>Wrong</v>
          </cell>
          <cell r="J3080">
            <v>2.15</v>
          </cell>
          <cell r="K3080" t="str">
            <v>High</v>
          </cell>
          <cell r="AB3080">
            <v>0</v>
          </cell>
        </row>
        <row r="3081">
          <cell r="B3081" t="str">
            <v>Ezhil Arasan</v>
          </cell>
          <cell r="I3081" t="str">
            <v>Correct</v>
          </cell>
          <cell r="J3081">
            <v>1.76</v>
          </cell>
          <cell r="K3081" t="str">
            <v>High</v>
          </cell>
          <cell r="AB3081">
            <v>3</v>
          </cell>
        </row>
        <row r="3082">
          <cell r="B3082" t="str">
            <v>Gnanavel S</v>
          </cell>
          <cell r="I3082" t="str">
            <v>Correct</v>
          </cell>
          <cell r="J3082">
            <v>1.45</v>
          </cell>
          <cell r="K3082" t="str">
            <v>Low</v>
          </cell>
          <cell r="AB3082">
            <v>2</v>
          </cell>
        </row>
        <row r="3083">
          <cell r="B3083" t="str">
            <v>Gnanavel S</v>
          </cell>
          <cell r="I3083" t="str">
            <v>Correct</v>
          </cell>
          <cell r="J3083">
            <v>1.7</v>
          </cell>
          <cell r="K3083" t="str">
            <v>Low</v>
          </cell>
          <cell r="AB3083">
            <v>0.88</v>
          </cell>
        </row>
        <row r="3084">
          <cell r="B3084" t="str">
            <v>Gnanavel S</v>
          </cell>
          <cell r="I3084" t="str">
            <v>Correct</v>
          </cell>
          <cell r="J3084">
            <v>1.24</v>
          </cell>
          <cell r="K3084" t="str">
            <v>Low</v>
          </cell>
          <cell r="AB3084">
            <v>2</v>
          </cell>
        </row>
        <row r="3085">
          <cell r="B3085" t="str">
            <v>Gnanavel S</v>
          </cell>
          <cell r="I3085" t="str">
            <v>Wrong</v>
          </cell>
          <cell r="J3085">
            <v>1.38</v>
          </cell>
          <cell r="K3085" t="str">
            <v>Low</v>
          </cell>
          <cell r="AB3085">
            <v>0</v>
          </cell>
        </row>
        <row r="3086">
          <cell r="B3086" t="str">
            <v>Gnanavel S</v>
          </cell>
          <cell r="I3086" t="str">
            <v>Wrong</v>
          </cell>
          <cell r="J3086">
            <v>1.21</v>
          </cell>
          <cell r="K3086" t="str">
            <v>Low</v>
          </cell>
          <cell r="AB3086">
            <v>0</v>
          </cell>
        </row>
        <row r="3087">
          <cell r="B3087" t="str">
            <v>Gnanavel S</v>
          </cell>
          <cell r="I3087" t="str">
            <v>Correct</v>
          </cell>
          <cell r="J3087">
            <v>1.39</v>
          </cell>
          <cell r="K3087" t="str">
            <v>Low</v>
          </cell>
          <cell r="AB3087">
            <v>2</v>
          </cell>
        </row>
        <row r="3088">
          <cell r="B3088" t="str">
            <v>Gnanavel S</v>
          </cell>
          <cell r="I3088" t="str">
            <v>Correct</v>
          </cell>
          <cell r="J3088">
            <v>1.81</v>
          </cell>
          <cell r="K3088" t="str">
            <v>Low</v>
          </cell>
          <cell r="AB3088">
            <v>0.83</v>
          </cell>
        </row>
        <row r="3089">
          <cell r="B3089" t="str">
            <v>Gnanavel S</v>
          </cell>
          <cell r="I3089" t="str">
            <v>Wrong</v>
          </cell>
          <cell r="J3089">
            <v>1.19</v>
          </cell>
          <cell r="K3089" t="str">
            <v>Low</v>
          </cell>
          <cell r="AB3089">
            <v>0</v>
          </cell>
        </row>
        <row r="3090">
          <cell r="B3090" t="str">
            <v>Gnanavel S</v>
          </cell>
          <cell r="I3090" t="str">
            <v>Correct</v>
          </cell>
          <cell r="J3090">
            <v>1.31</v>
          </cell>
          <cell r="K3090" t="str">
            <v>Low</v>
          </cell>
          <cell r="AB3090">
            <v>2</v>
          </cell>
        </row>
        <row r="3091">
          <cell r="B3091" t="str">
            <v>Gnanavel S</v>
          </cell>
          <cell r="I3091" t="str">
            <v>Wrong</v>
          </cell>
          <cell r="J3091">
            <v>2</v>
          </cell>
          <cell r="K3091" t="str">
            <v>Medium</v>
          </cell>
          <cell r="AB3091">
            <v>0</v>
          </cell>
        </row>
        <row r="3092">
          <cell r="B3092" t="str">
            <v>Gnanavel S</v>
          </cell>
          <cell r="I3092" t="str">
            <v>Wrong</v>
          </cell>
          <cell r="J3092">
            <v>1.37</v>
          </cell>
          <cell r="K3092" t="str">
            <v>Medium</v>
          </cell>
          <cell r="AB3092">
            <v>0</v>
          </cell>
        </row>
        <row r="3093">
          <cell r="B3093" t="str">
            <v>Gnanavel S</v>
          </cell>
          <cell r="I3093" t="str">
            <v>Correct</v>
          </cell>
          <cell r="J3093">
            <v>1.22</v>
          </cell>
          <cell r="K3093" t="str">
            <v>Medium</v>
          </cell>
          <cell r="AB3093">
            <v>2</v>
          </cell>
        </row>
        <row r="3094">
          <cell r="B3094" t="str">
            <v>Gnanavel S</v>
          </cell>
          <cell r="I3094" t="str">
            <v>Correct</v>
          </cell>
          <cell r="J3094">
            <v>1.56</v>
          </cell>
          <cell r="K3094" t="str">
            <v>Medium</v>
          </cell>
          <cell r="AB3094">
            <v>2</v>
          </cell>
        </row>
        <row r="3095">
          <cell r="B3095" t="str">
            <v>Gnanavel S</v>
          </cell>
          <cell r="I3095" t="str">
            <v>Correct</v>
          </cell>
          <cell r="J3095">
            <v>1.1499999999999999</v>
          </cell>
          <cell r="K3095" t="str">
            <v>Medium</v>
          </cell>
          <cell r="AB3095">
            <v>2</v>
          </cell>
        </row>
        <row r="3096">
          <cell r="B3096" t="str">
            <v>Gnanavel S</v>
          </cell>
          <cell r="I3096" t="str">
            <v>Correct</v>
          </cell>
          <cell r="J3096">
            <v>2.06</v>
          </cell>
          <cell r="K3096" t="str">
            <v>Medium</v>
          </cell>
          <cell r="AB3096">
            <v>1.75</v>
          </cell>
        </row>
        <row r="3097">
          <cell r="B3097" t="str">
            <v>Gnanavel S</v>
          </cell>
          <cell r="I3097" t="str">
            <v>Wrong</v>
          </cell>
          <cell r="J3097">
            <v>1.78</v>
          </cell>
          <cell r="K3097" t="str">
            <v>High</v>
          </cell>
          <cell r="AB3097">
            <v>0</v>
          </cell>
        </row>
        <row r="3098">
          <cell r="B3098" t="str">
            <v>Gnanavel S</v>
          </cell>
          <cell r="I3098" t="str">
            <v>Wrong</v>
          </cell>
          <cell r="J3098">
            <v>1.8</v>
          </cell>
          <cell r="K3098" t="str">
            <v>High</v>
          </cell>
          <cell r="AB3098">
            <v>0</v>
          </cell>
        </row>
        <row r="3099">
          <cell r="B3099" t="str">
            <v>Gnanavel S</v>
          </cell>
          <cell r="I3099" t="str">
            <v>Wrong</v>
          </cell>
          <cell r="J3099">
            <v>1.24</v>
          </cell>
          <cell r="K3099" t="str">
            <v>High</v>
          </cell>
          <cell r="AB3099">
            <v>0</v>
          </cell>
        </row>
        <row r="3100">
          <cell r="B3100" t="str">
            <v>Gnanavel S</v>
          </cell>
          <cell r="I3100" t="str">
            <v>Wrong</v>
          </cell>
          <cell r="J3100">
            <v>2.54</v>
          </cell>
          <cell r="K3100" t="str">
            <v>High</v>
          </cell>
          <cell r="AB3100">
            <v>0</v>
          </cell>
        </row>
        <row r="3101">
          <cell r="B3101" t="str">
            <v>Gnanavel S</v>
          </cell>
          <cell r="I3101" t="str">
            <v>Correct</v>
          </cell>
          <cell r="J3101">
            <v>2.4500000000000002</v>
          </cell>
          <cell r="K3101" t="str">
            <v>High</v>
          </cell>
          <cell r="AB3101">
            <v>2.4500000000000002</v>
          </cell>
        </row>
        <row r="3102">
          <cell r="B3102" t="str">
            <v>Haris Kumar</v>
          </cell>
          <cell r="I3102" t="str">
            <v>Correct</v>
          </cell>
          <cell r="J3102">
            <v>1.47</v>
          </cell>
          <cell r="K3102" t="str">
            <v>Low</v>
          </cell>
          <cell r="AB3102">
            <v>2</v>
          </cell>
        </row>
        <row r="3103">
          <cell r="B3103" t="str">
            <v>Haris Kumar</v>
          </cell>
          <cell r="I3103" t="str">
            <v>Correct</v>
          </cell>
          <cell r="J3103">
            <v>1.88</v>
          </cell>
          <cell r="K3103" t="str">
            <v>Low</v>
          </cell>
          <cell r="AB3103">
            <v>0.8</v>
          </cell>
        </row>
        <row r="3104">
          <cell r="B3104" t="str">
            <v>Haris Kumar</v>
          </cell>
          <cell r="I3104" t="str">
            <v>Wrong</v>
          </cell>
          <cell r="J3104">
            <v>1.63</v>
          </cell>
          <cell r="K3104" t="str">
            <v>Low</v>
          </cell>
          <cell r="AB3104">
            <v>0</v>
          </cell>
        </row>
        <row r="3105">
          <cell r="B3105" t="str">
            <v>Haris Kumar</v>
          </cell>
          <cell r="I3105" t="str">
            <v>Correct</v>
          </cell>
          <cell r="J3105">
            <v>1.28</v>
          </cell>
          <cell r="K3105" t="str">
            <v>Low</v>
          </cell>
          <cell r="AB3105">
            <v>1</v>
          </cell>
        </row>
        <row r="3106">
          <cell r="B3106" t="str">
            <v>Haris Kumar</v>
          </cell>
          <cell r="I3106" t="str">
            <v>Correct</v>
          </cell>
          <cell r="J3106">
            <v>1.85</v>
          </cell>
          <cell r="K3106" t="str">
            <v>Low</v>
          </cell>
          <cell r="AB3106">
            <v>0.81</v>
          </cell>
        </row>
        <row r="3107">
          <cell r="B3107" t="str">
            <v>Haris Kumar</v>
          </cell>
          <cell r="I3107" t="str">
            <v>Correct</v>
          </cell>
          <cell r="J3107">
            <v>2</v>
          </cell>
          <cell r="K3107" t="str">
            <v>Low</v>
          </cell>
          <cell r="AB3107">
            <v>1.5</v>
          </cell>
        </row>
        <row r="3108">
          <cell r="B3108" t="str">
            <v>Haris Kumar</v>
          </cell>
          <cell r="I3108" t="str">
            <v>Correct</v>
          </cell>
          <cell r="J3108">
            <v>1.58</v>
          </cell>
          <cell r="K3108" t="str">
            <v>Low</v>
          </cell>
          <cell r="AB3108">
            <v>0.95</v>
          </cell>
        </row>
        <row r="3109">
          <cell r="B3109" t="str">
            <v>Haris Kumar</v>
          </cell>
          <cell r="I3109" t="str">
            <v>Correct</v>
          </cell>
          <cell r="J3109">
            <v>1.86</v>
          </cell>
          <cell r="K3109" t="str">
            <v>Low</v>
          </cell>
          <cell r="AB3109">
            <v>1.61</v>
          </cell>
        </row>
        <row r="3110">
          <cell r="B3110" t="str">
            <v>Haris Kumar</v>
          </cell>
          <cell r="I3110" t="str">
            <v>Correct</v>
          </cell>
          <cell r="J3110">
            <v>1.18</v>
          </cell>
          <cell r="K3110" t="str">
            <v>Low</v>
          </cell>
          <cell r="AB3110">
            <v>2</v>
          </cell>
        </row>
        <row r="3111">
          <cell r="B3111" t="str">
            <v>Haris Kumar</v>
          </cell>
          <cell r="I3111" t="str">
            <v>Correct</v>
          </cell>
          <cell r="J3111">
            <v>2.2400000000000002</v>
          </cell>
          <cell r="K3111" t="str">
            <v>Medium</v>
          </cell>
          <cell r="AB3111">
            <v>1.61</v>
          </cell>
        </row>
        <row r="3112">
          <cell r="B3112" t="str">
            <v>Haris Kumar</v>
          </cell>
          <cell r="I3112" t="str">
            <v>Correct</v>
          </cell>
          <cell r="J3112">
            <v>1.65</v>
          </cell>
          <cell r="K3112" t="str">
            <v>Medium</v>
          </cell>
          <cell r="AB3112">
            <v>2</v>
          </cell>
        </row>
        <row r="3113">
          <cell r="B3113" t="str">
            <v>Haris Kumar</v>
          </cell>
          <cell r="I3113" t="str">
            <v>Wrong</v>
          </cell>
          <cell r="J3113">
            <v>1.1399999999999999</v>
          </cell>
          <cell r="K3113" t="str">
            <v>Medium</v>
          </cell>
          <cell r="AB3113">
            <v>0</v>
          </cell>
        </row>
        <row r="3114">
          <cell r="B3114" t="str">
            <v>Haris Kumar</v>
          </cell>
          <cell r="I3114" t="str">
            <v>Correct</v>
          </cell>
          <cell r="J3114">
            <v>1.17</v>
          </cell>
          <cell r="K3114" t="str">
            <v>Medium</v>
          </cell>
          <cell r="AB3114">
            <v>2</v>
          </cell>
        </row>
        <row r="3115">
          <cell r="B3115" t="str">
            <v>Haris Kumar</v>
          </cell>
          <cell r="I3115" t="str">
            <v>Correct</v>
          </cell>
          <cell r="J3115">
            <v>1.53</v>
          </cell>
          <cell r="K3115" t="str">
            <v>Medium</v>
          </cell>
          <cell r="AB3115">
            <v>2</v>
          </cell>
        </row>
        <row r="3116">
          <cell r="B3116" t="str">
            <v>Haris Kumar</v>
          </cell>
          <cell r="I3116" t="str">
            <v>Correct</v>
          </cell>
          <cell r="J3116">
            <v>2.0299999999999998</v>
          </cell>
          <cell r="K3116" t="str">
            <v>Medium</v>
          </cell>
          <cell r="AB3116">
            <v>1.77</v>
          </cell>
        </row>
        <row r="3117">
          <cell r="B3117" t="str">
            <v>Haris Kumar</v>
          </cell>
          <cell r="I3117" t="str">
            <v>Wrong</v>
          </cell>
          <cell r="J3117">
            <v>1.51</v>
          </cell>
          <cell r="K3117" t="str">
            <v>High</v>
          </cell>
          <cell r="AB3117">
            <v>0</v>
          </cell>
        </row>
        <row r="3118">
          <cell r="B3118" t="str">
            <v>Haris Kumar</v>
          </cell>
          <cell r="I3118" t="str">
            <v>Wrong</v>
          </cell>
          <cell r="J3118">
            <v>1.88</v>
          </cell>
          <cell r="K3118" t="str">
            <v>High</v>
          </cell>
          <cell r="AB3118">
            <v>0</v>
          </cell>
        </row>
        <row r="3119">
          <cell r="B3119" t="str">
            <v>Haris Kumar</v>
          </cell>
          <cell r="I3119" t="str">
            <v>Correct</v>
          </cell>
          <cell r="J3119">
            <v>1.35</v>
          </cell>
          <cell r="K3119" t="str">
            <v>High</v>
          </cell>
          <cell r="AB3119">
            <v>3</v>
          </cell>
        </row>
        <row r="3120">
          <cell r="B3120" t="str">
            <v>Haris Kumar</v>
          </cell>
          <cell r="I3120" t="str">
            <v>Correct</v>
          </cell>
          <cell r="J3120">
            <v>2.5299999999999998</v>
          </cell>
          <cell r="K3120" t="str">
            <v>High</v>
          </cell>
          <cell r="AB3120">
            <v>2.37</v>
          </cell>
        </row>
        <row r="3121">
          <cell r="B3121" t="str">
            <v>Haris Kumar</v>
          </cell>
          <cell r="I3121" t="str">
            <v>Correct</v>
          </cell>
          <cell r="J3121">
            <v>1.73</v>
          </cell>
          <cell r="K3121" t="str">
            <v>High</v>
          </cell>
          <cell r="AB3121">
            <v>3</v>
          </cell>
        </row>
        <row r="3122">
          <cell r="B3122" t="str">
            <v>Jeevanandham R</v>
          </cell>
          <cell r="I3122" t="str">
            <v>Correct</v>
          </cell>
          <cell r="J3122">
            <v>1.1399999999999999</v>
          </cell>
          <cell r="K3122" t="str">
            <v>Low</v>
          </cell>
          <cell r="AB3122">
            <v>2</v>
          </cell>
        </row>
        <row r="3123">
          <cell r="B3123" t="str">
            <v>Jeevanandham R</v>
          </cell>
          <cell r="I3123" t="str">
            <v>Correct</v>
          </cell>
          <cell r="J3123">
            <v>1.93</v>
          </cell>
          <cell r="K3123" t="str">
            <v>Low</v>
          </cell>
          <cell r="AB3123">
            <v>0.78</v>
          </cell>
        </row>
        <row r="3124">
          <cell r="B3124" t="str">
            <v>Jeevanandham R</v>
          </cell>
          <cell r="I3124" t="str">
            <v>Correct</v>
          </cell>
          <cell r="J3124">
            <v>1.46</v>
          </cell>
          <cell r="K3124" t="str">
            <v>Low</v>
          </cell>
          <cell r="AB3124">
            <v>2</v>
          </cell>
        </row>
        <row r="3125">
          <cell r="B3125" t="str">
            <v>Jeevanandham R</v>
          </cell>
          <cell r="I3125" t="str">
            <v>Correct</v>
          </cell>
          <cell r="J3125">
            <v>1.85</v>
          </cell>
          <cell r="K3125" t="str">
            <v>Low</v>
          </cell>
          <cell r="AB3125">
            <v>0.81</v>
          </cell>
        </row>
        <row r="3126">
          <cell r="B3126" t="str">
            <v>Jeevanandham R</v>
          </cell>
          <cell r="I3126" t="str">
            <v>Correct</v>
          </cell>
          <cell r="J3126">
            <v>1.3</v>
          </cell>
          <cell r="K3126" t="str">
            <v>Low</v>
          </cell>
          <cell r="AB3126">
            <v>1</v>
          </cell>
        </row>
        <row r="3127">
          <cell r="B3127" t="str">
            <v>Jeevanandham R</v>
          </cell>
          <cell r="I3127" t="str">
            <v>Correct</v>
          </cell>
          <cell r="J3127">
            <v>1.17</v>
          </cell>
          <cell r="K3127" t="str">
            <v>Low</v>
          </cell>
          <cell r="AB3127">
            <v>2</v>
          </cell>
        </row>
        <row r="3128">
          <cell r="B3128" t="str">
            <v>Jeevanandham R</v>
          </cell>
          <cell r="I3128" t="str">
            <v>Wrong</v>
          </cell>
          <cell r="J3128">
            <v>1.55</v>
          </cell>
          <cell r="K3128" t="str">
            <v>Low</v>
          </cell>
          <cell r="AB3128">
            <v>0</v>
          </cell>
        </row>
        <row r="3129">
          <cell r="B3129" t="str">
            <v>Jeevanandham R</v>
          </cell>
          <cell r="I3129" t="str">
            <v>Correct</v>
          </cell>
          <cell r="J3129">
            <v>1.44</v>
          </cell>
          <cell r="K3129" t="str">
            <v>Low</v>
          </cell>
          <cell r="AB3129">
            <v>2</v>
          </cell>
        </row>
        <row r="3130">
          <cell r="B3130" t="str">
            <v>Jeevanandham R</v>
          </cell>
          <cell r="I3130" t="str">
            <v>Wrong</v>
          </cell>
          <cell r="J3130">
            <v>1.01</v>
          </cell>
          <cell r="K3130" t="str">
            <v>Low</v>
          </cell>
          <cell r="AB3130">
            <v>0</v>
          </cell>
        </row>
        <row r="3131">
          <cell r="B3131" t="str">
            <v>Jeevanandham R</v>
          </cell>
          <cell r="I3131" t="str">
            <v>Correct</v>
          </cell>
          <cell r="J3131">
            <v>1.44</v>
          </cell>
          <cell r="K3131" t="str">
            <v>Medium</v>
          </cell>
          <cell r="AB3131">
            <v>2</v>
          </cell>
        </row>
        <row r="3132">
          <cell r="B3132" t="str">
            <v>Jeevanandham R</v>
          </cell>
          <cell r="I3132" t="str">
            <v>Correct</v>
          </cell>
          <cell r="J3132">
            <v>2.02</v>
          </cell>
          <cell r="K3132" t="str">
            <v>Medium</v>
          </cell>
          <cell r="AB3132">
            <v>1.78</v>
          </cell>
        </row>
        <row r="3133">
          <cell r="B3133" t="str">
            <v>Jeevanandham R</v>
          </cell>
          <cell r="I3133" t="str">
            <v>Wrong</v>
          </cell>
          <cell r="J3133">
            <v>1.26</v>
          </cell>
          <cell r="K3133" t="str">
            <v>Medium</v>
          </cell>
          <cell r="AB3133">
            <v>0</v>
          </cell>
        </row>
        <row r="3134">
          <cell r="B3134" t="str">
            <v>Jeevanandham R</v>
          </cell>
          <cell r="I3134" t="str">
            <v>Wrong</v>
          </cell>
          <cell r="J3134">
            <v>1.17</v>
          </cell>
          <cell r="K3134" t="str">
            <v>Medium</v>
          </cell>
          <cell r="AB3134">
            <v>0</v>
          </cell>
        </row>
        <row r="3135">
          <cell r="B3135" t="str">
            <v>Jeevanandham R</v>
          </cell>
          <cell r="I3135" t="str">
            <v>Wrong</v>
          </cell>
          <cell r="J3135">
            <v>2.27</v>
          </cell>
          <cell r="K3135" t="str">
            <v>Medium</v>
          </cell>
          <cell r="AB3135">
            <v>0</v>
          </cell>
        </row>
        <row r="3136">
          <cell r="B3136" t="str">
            <v>Jeevanandham R</v>
          </cell>
          <cell r="I3136" t="str">
            <v>Correct</v>
          </cell>
          <cell r="J3136">
            <v>1.78</v>
          </cell>
          <cell r="K3136" t="str">
            <v>Medium</v>
          </cell>
          <cell r="AB3136">
            <v>2</v>
          </cell>
        </row>
        <row r="3137">
          <cell r="B3137" t="str">
            <v>Jeevanandham R</v>
          </cell>
          <cell r="I3137" t="str">
            <v>Wrong</v>
          </cell>
          <cell r="J3137">
            <v>2.35</v>
          </cell>
          <cell r="K3137" t="str">
            <v>High</v>
          </cell>
          <cell r="AB3137">
            <v>0</v>
          </cell>
        </row>
        <row r="3138">
          <cell r="B3138" t="str">
            <v>Jeevanandham R</v>
          </cell>
          <cell r="I3138" t="str">
            <v>Correct</v>
          </cell>
          <cell r="J3138">
            <v>1.93</v>
          </cell>
          <cell r="K3138" t="str">
            <v>High</v>
          </cell>
          <cell r="AB3138">
            <v>3</v>
          </cell>
        </row>
        <row r="3139">
          <cell r="B3139" t="str">
            <v>Jeevanandham R</v>
          </cell>
          <cell r="I3139" t="str">
            <v>Wrong</v>
          </cell>
          <cell r="J3139">
            <v>2.1800000000000002</v>
          </cell>
          <cell r="K3139" t="str">
            <v>High</v>
          </cell>
          <cell r="AB3139">
            <v>0</v>
          </cell>
        </row>
        <row r="3140">
          <cell r="B3140" t="str">
            <v>Jeevanandham R</v>
          </cell>
          <cell r="I3140" t="str">
            <v>Wrong</v>
          </cell>
          <cell r="J3140">
            <v>1.24</v>
          </cell>
          <cell r="K3140" t="str">
            <v>High</v>
          </cell>
          <cell r="AB3140">
            <v>0</v>
          </cell>
        </row>
        <row r="3141">
          <cell r="B3141" t="str">
            <v>Jeevanandham R</v>
          </cell>
          <cell r="I3141" t="str">
            <v>Wrong</v>
          </cell>
          <cell r="J3141">
            <v>2.09</v>
          </cell>
          <cell r="K3141" t="str">
            <v>High</v>
          </cell>
          <cell r="AB3141">
            <v>0</v>
          </cell>
        </row>
        <row r="3142">
          <cell r="B3142" t="str">
            <v>Karthika M</v>
          </cell>
          <cell r="I3142" t="str">
            <v>Correct</v>
          </cell>
          <cell r="J3142">
            <v>1.1399999999999999</v>
          </cell>
          <cell r="K3142" t="str">
            <v>Low</v>
          </cell>
          <cell r="AB3142">
            <v>2</v>
          </cell>
        </row>
        <row r="3143">
          <cell r="B3143" t="str">
            <v>Karthika M</v>
          </cell>
          <cell r="I3143" t="str">
            <v>Wrong</v>
          </cell>
          <cell r="J3143">
            <v>1.56</v>
          </cell>
          <cell r="K3143" t="str">
            <v>Low</v>
          </cell>
          <cell r="AB3143">
            <v>0</v>
          </cell>
        </row>
        <row r="3144">
          <cell r="B3144" t="str">
            <v>Karthika M</v>
          </cell>
          <cell r="I3144" t="str">
            <v>Wrong</v>
          </cell>
          <cell r="J3144">
            <v>1.65</v>
          </cell>
          <cell r="K3144" t="str">
            <v>Low</v>
          </cell>
          <cell r="AB3144">
            <v>0</v>
          </cell>
        </row>
        <row r="3145">
          <cell r="B3145" t="str">
            <v>Karthika M</v>
          </cell>
          <cell r="I3145" t="str">
            <v>Correct</v>
          </cell>
          <cell r="J3145">
            <v>1.1299999999999999</v>
          </cell>
          <cell r="K3145" t="str">
            <v>Low</v>
          </cell>
          <cell r="AB3145">
            <v>1</v>
          </cell>
        </row>
        <row r="3146">
          <cell r="B3146" t="str">
            <v>Karthika M</v>
          </cell>
          <cell r="I3146" t="str">
            <v>Correct</v>
          </cell>
          <cell r="J3146">
            <v>0.92</v>
          </cell>
          <cell r="K3146" t="str">
            <v>Low</v>
          </cell>
          <cell r="AB3146">
            <v>1</v>
          </cell>
        </row>
        <row r="3147">
          <cell r="B3147" t="str">
            <v>Karthika M</v>
          </cell>
          <cell r="I3147" t="str">
            <v>Correct</v>
          </cell>
          <cell r="J3147">
            <v>1.8</v>
          </cell>
          <cell r="K3147" t="str">
            <v>Low</v>
          </cell>
          <cell r="AB3147">
            <v>1.67</v>
          </cell>
        </row>
        <row r="3148">
          <cell r="B3148" t="str">
            <v>Karthika M</v>
          </cell>
          <cell r="I3148" t="str">
            <v>Correct</v>
          </cell>
          <cell r="J3148">
            <v>1.93</v>
          </cell>
          <cell r="K3148" t="str">
            <v>Low</v>
          </cell>
          <cell r="AB3148">
            <v>0.78</v>
          </cell>
        </row>
        <row r="3149">
          <cell r="B3149" t="str">
            <v>Karthika M</v>
          </cell>
          <cell r="I3149" t="str">
            <v>Correct</v>
          </cell>
          <cell r="J3149">
            <v>1.99</v>
          </cell>
          <cell r="K3149" t="str">
            <v>Low</v>
          </cell>
          <cell r="AB3149">
            <v>1.51</v>
          </cell>
        </row>
        <row r="3150">
          <cell r="B3150" t="str">
            <v>Karthika M</v>
          </cell>
          <cell r="I3150" t="str">
            <v>Wrong</v>
          </cell>
          <cell r="J3150">
            <v>1.49</v>
          </cell>
          <cell r="K3150" t="str">
            <v>Low</v>
          </cell>
          <cell r="AB3150">
            <v>0</v>
          </cell>
        </row>
        <row r="3151">
          <cell r="B3151" t="str">
            <v>Karthika M</v>
          </cell>
          <cell r="I3151" t="str">
            <v>Correct</v>
          </cell>
          <cell r="J3151">
            <v>2.23</v>
          </cell>
          <cell r="K3151" t="str">
            <v>Medium</v>
          </cell>
          <cell r="AB3151">
            <v>1.61</v>
          </cell>
        </row>
        <row r="3152">
          <cell r="B3152" t="str">
            <v>Karthika M</v>
          </cell>
          <cell r="I3152" t="str">
            <v>Correct</v>
          </cell>
          <cell r="J3152">
            <v>1.21</v>
          </cell>
          <cell r="K3152" t="str">
            <v>Medium</v>
          </cell>
          <cell r="AB3152">
            <v>2</v>
          </cell>
        </row>
        <row r="3153">
          <cell r="B3153" t="str">
            <v>Karthika M</v>
          </cell>
          <cell r="I3153" t="str">
            <v>Correct</v>
          </cell>
          <cell r="J3153">
            <v>2.14</v>
          </cell>
          <cell r="K3153" t="str">
            <v>Medium</v>
          </cell>
          <cell r="AB3153">
            <v>1.68</v>
          </cell>
        </row>
        <row r="3154">
          <cell r="B3154" t="str">
            <v>Karthika M</v>
          </cell>
          <cell r="I3154" t="str">
            <v>Correct</v>
          </cell>
          <cell r="J3154">
            <v>2.13</v>
          </cell>
          <cell r="K3154" t="str">
            <v>Medium</v>
          </cell>
          <cell r="AB3154">
            <v>1.69</v>
          </cell>
        </row>
        <row r="3155">
          <cell r="B3155" t="str">
            <v>Karthika M</v>
          </cell>
          <cell r="I3155" t="str">
            <v>Correct</v>
          </cell>
          <cell r="J3155">
            <v>1.85</v>
          </cell>
          <cell r="K3155" t="str">
            <v>Medium</v>
          </cell>
          <cell r="AB3155">
            <v>1.95</v>
          </cell>
        </row>
        <row r="3156">
          <cell r="B3156" t="str">
            <v>Karthika M</v>
          </cell>
          <cell r="I3156" t="str">
            <v>Wrong</v>
          </cell>
          <cell r="J3156">
            <v>1.69</v>
          </cell>
          <cell r="K3156" t="str">
            <v>Medium</v>
          </cell>
          <cell r="AB3156">
            <v>0</v>
          </cell>
        </row>
        <row r="3157">
          <cell r="B3157" t="str">
            <v>Karthika M</v>
          </cell>
          <cell r="I3157" t="str">
            <v>Wrong</v>
          </cell>
          <cell r="J3157">
            <v>2.09</v>
          </cell>
          <cell r="K3157" t="str">
            <v>High</v>
          </cell>
          <cell r="AB3157">
            <v>0</v>
          </cell>
        </row>
        <row r="3158">
          <cell r="B3158" t="str">
            <v>Karthika M</v>
          </cell>
          <cell r="I3158" t="str">
            <v>Wrong</v>
          </cell>
          <cell r="J3158">
            <v>1.89</v>
          </cell>
          <cell r="K3158" t="str">
            <v>High</v>
          </cell>
          <cell r="AB3158">
            <v>0</v>
          </cell>
        </row>
        <row r="3159">
          <cell r="B3159" t="str">
            <v>Karthika M</v>
          </cell>
          <cell r="I3159" t="str">
            <v>Wrong</v>
          </cell>
          <cell r="J3159">
            <v>1.73</v>
          </cell>
          <cell r="K3159" t="str">
            <v>High</v>
          </cell>
          <cell r="AB3159">
            <v>0</v>
          </cell>
        </row>
        <row r="3160">
          <cell r="B3160" t="str">
            <v>Karthika M</v>
          </cell>
          <cell r="I3160" t="str">
            <v>Correct</v>
          </cell>
          <cell r="J3160">
            <v>1.42</v>
          </cell>
          <cell r="K3160" t="str">
            <v>High</v>
          </cell>
          <cell r="AB3160">
            <v>3</v>
          </cell>
        </row>
        <row r="3161">
          <cell r="B3161" t="str">
            <v>Karthika M</v>
          </cell>
          <cell r="I3161" t="str">
            <v>Correct</v>
          </cell>
          <cell r="J3161">
            <v>1.77</v>
          </cell>
          <cell r="K3161" t="str">
            <v>High</v>
          </cell>
          <cell r="AB3161">
            <v>3</v>
          </cell>
        </row>
        <row r="3162">
          <cell r="B3162" t="str">
            <v>Lokesh Kumar</v>
          </cell>
          <cell r="I3162" t="str">
            <v>Correct</v>
          </cell>
          <cell r="J3162">
            <v>1.97</v>
          </cell>
          <cell r="K3162" t="str">
            <v>Low</v>
          </cell>
          <cell r="AB3162">
            <v>1.52</v>
          </cell>
        </row>
        <row r="3163">
          <cell r="B3163" t="str">
            <v>Lokesh Kumar</v>
          </cell>
          <cell r="I3163" t="str">
            <v>Correct</v>
          </cell>
          <cell r="J3163">
            <v>1.48</v>
          </cell>
          <cell r="K3163" t="str">
            <v>Low</v>
          </cell>
          <cell r="AB3163">
            <v>1</v>
          </cell>
        </row>
        <row r="3164">
          <cell r="B3164" t="str">
            <v>Lokesh Kumar</v>
          </cell>
          <cell r="I3164" t="str">
            <v>Correct</v>
          </cell>
          <cell r="J3164">
            <v>1.82</v>
          </cell>
          <cell r="K3164" t="str">
            <v>Low</v>
          </cell>
          <cell r="AB3164">
            <v>1.65</v>
          </cell>
        </row>
        <row r="3165">
          <cell r="B3165" t="str">
            <v>Lokesh Kumar</v>
          </cell>
          <cell r="I3165" t="str">
            <v>Correct</v>
          </cell>
          <cell r="J3165">
            <v>1.47</v>
          </cell>
          <cell r="K3165" t="str">
            <v>Low</v>
          </cell>
          <cell r="AB3165">
            <v>1</v>
          </cell>
        </row>
        <row r="3166">
          <cell r="B3166" t="str">
            <v>Lokesh Kumar</v>
          </cell>
          <cell r="I3166" t="str">
            <v>Wrong</v>
          </cell>
          <cell r="J3166">
            <v>1.88</v>
          </cell>
          <cell r="K3166" t="str">
            <v>Low</v>
          </cell>
          <cell r="AB3166">
            <v>0</v>
          </cell>
        </row>
        <row r="3167">
          <cell r="B3167" t="str">
            <v>Lokesh Kumar</v>
          </cell>
          <cell r="I3167" t="str">
            <v>Correct</v>
          </cell>
          <cell r="J3167">
            <v>1.37</v>
          </cell>
          <cell r="K3167" t="str">
            <v>Low</v>
          </cell>
          <cell r="AB3167">
            <v>2</v>
          </cell>
        </row>
        <row r="3168">
          <cell r="B3168" t="str">
            <v>Lokesh Kumar</v>
          </cell>
          <cell r="I3168" t="str">
            <v>Correct</v>
          </cell>
          <cell r="J3168">
            <v>1.36</v>
          </cell>
          <cell r="K3168" t="str">
            <v>Low</v>
          </cell>
          <cell r="AB3168">
            <v>1</v>
          </cell>
        </row>
        <row r="3169">
          <cell r="B3169" t="str">
            <v>Lokesh Kumar</v>
          </cell>
          <cell r="I3169" t="str">
            <v>Correct</v>
          </cell>
          <cell r="J3169">
            <v>1.58</v>
          </cell>
          <cell r="K3169" t="str">
            <v>Low</v>
          </cell>
          <cell r="AB3169">
            <v>1.9</v>
          </cell>
        </row>
        <row r="3170">
          <cell r="B3170" t="str">
            <v>Lokesh Kumar</v>
          </cell>
          <cell r="I3170" t="str">
            <v>Correct</v>
          </cell>
          <cell r="J3170">
            <v>0.96</v>
          </cell>
          <cell r="K3170" t="str">
            <v>Low</v>
          </cell>
          <cell r="AB3170">
            <v>2</v>
          </cell>
        </row>
        <row r="3171">
          <cell r="B3171" t="str">
            <v>Lokesh Kumar</v>
          </cell>
          <cell r="I3171" t="str">
            <v>Correct</v>
          </cell>
          <cell r="J3171">
            <v>1.45</v>
          </cell>
          <cell r="K3171" t="str">
            <v>Medium</v>
          </cell>
          <cell r="AB3171">
            <v>2</v>
          </cell>
        </row>
        <row r="3172">
          <cell r="B3172" t="str">
            <v>Lokesh Kumar</v>
          </cell>
          <cell r="I3172" t="str">
            <v>Wrong</v>
          </cell>
          <cell r="J3172">
            <v>2.11</v>
          </cell>
          <cell r="K3172" t="str">
            <v>Medium</v>
          </cell>
          <cell r="AB3172">
            <v>0</v>
          </cell>
        </row>
        <row r="3173">
          <cell r="B3173" t="str">
            <v>Lokesh Kumar</v>
          </cell>
          <cell r="I3173" t="str">
            <v>Correct</v>
          </cell>
          <cell r="J3173">
            <v>2.09</v>
          </cell>
          <cell r="K3173" t="str">
            <v>Medium</v>
          </cell>
          <cell r="AB3173">
            <v>1.72</v>
          </cell>
        </row>
        <row r="3174">
          <cell r="B3174" t="str">
            <v>Lokesh Kumar</v>
          </cell>
          <cell r="I3174" t="str">
            <v>Correct</v>
          </cell>
          <cell r="J3174">
            <v>1.45</v>
          </cell>
          <cell r="K3174" t="str">
            <v>Medium</v>
          </cell>
          <cell r="AB3174">
            <v>2</v>
          </cell>
        </row>
        <row r="3175">
          <cell r="B3175" t="str">
            <v>Lokesh Kumar</v>
          </cell>
          <cell r="I3175" t="str">
            <v>Wrong</v>
          </cell>
          <cell r="J3175">
            <v>1.9</v>
          </cell>
          <cell r="K3175" t="str">
            <v>Medium</v>
          </cell>
          <cell r="AB3175">
            <v>0</v>
          </cell>
        </row>
        <row r="3176">
          <cell r="B3176" t="str">
            <v>Lokesh Kumar</v>
          </cell>
          <cell r="I3176" t="str">
            <v>Correct</v>
          </cell>
          <cell r="J3176">
            <v>1.95</v>
          </cell>
          <cell r="K3176" t="str">
            <v>Medium</v>
          </cell>
          <cell r="AB3176">
            <v>1.85</v>
          </cell>
        </row>
        <row r="3177">
          <cell r="B3177" t="str">
            <v>Lokesh Kumar</v>
          </cell>
          <cell r="I3177" t="str">
            <v>Wrong</v>
          </cell>
          <cell r="J3177">
            <v>1.22</v>
          </cell>
          <cell r="K3177" t="str">
            <v>High</v>
          </cell>
          <cell r="AB3177">
            <v>0</v>
          </cell>
        </row>
        <row r="3178">
          <cell r="B3178" t="str">
            <v>Lokesh Kumar</v>
          </cell>
          <cell r="I3178" t="str">
            <v>Wrong</v>
          </cell>
          <cell r="J3178">
            <v>2.0699999999999998</v>
          </cell>
          <cell r="K3178" t="str">
            <v>High</v>
          </cell>
          <cell r="AB3178">
            <v>0</v>
          </cell>
        </row>
        <row r="3179">
          <cell r="B3179" t="str">
            <v>Lokesh Kumar</v>
          </cell>
          <cell r="I3179" t="str">
            <v>Wrong</v>
          </cell>
          <cell r="J3179">
            <v>1.32</v>
          </cell>
          <cell r="K3179" t="str">
            <v>High</v>
          </cell>
          <cell r="AB3179">
            <v>0</v>
          </cell>
        </row>
        <row r="3180">
          <cell r="B3180" t="str">
            <v>Lokesh Kumar</v>
          </cell>
          <cell r="I3180" t="str">
            <v>Wrong</v>
          </cell>
          <cell r="J3180">
            <v>2.4900000000000002</v>
          </cell>
          <cell r="K3180" t="str">
            <v>High</v>
          </cell>
          <cell r="AB3180">
            <v>0</v>
          </cell>
        </row>
        <row r="3181">
          <cell r="B3181" t="str">
            <v>Lokesh Kumar</v>
          </cell>
          <cell r="I3181" t="str">
            <v>Correct</v>
          </cell>
          <cell r="J3181">
            <v>1.85</v>
          </cell>
          <cell r="K3181" t="str">
            <v>High</v>
          </cell>
          <cell r="AB3181">
            <v>3</v>
          </cell>
        </row>
        <row r="3182">
          <cell r="B3182" t="str">
            <v>Muralidharan S</v>
          </cell>
          <cell r="I3182" t="str">
            <v>Correct</v>
          </cell>
          <cell r="J3182">
            <v>1.8</v>
          </cell>
          <cell r="K3182" t="str">
            <v>Low</v>
          </cell>
          <cell r="AB3182">
            <v>1.67</v>
          </cell>
        </row>
        <row r="3183">
          <cell r="B3183" t="str">
            <v>Muralidharan S</v>
          </cell>
          <cell r="I3183" t="str">
            <v>Correct</v>
          </cell>
          <cell r="J3183">
            <v>1.51</v>
          </cell>
          <cell r="K3183" t="str">
            <v>Low</v>
          </cell>
          <cell r="AB3183">
            <v>0.99</v>
          </cell>
        </row>
        <row r="3184">
          <cell r="B3184" t="str">
            <v>Muralidharan S</v>
          </cell>
          <cell r="I3184" t="str">
            <v>Wrong</v>
          </cell>
          <cell r="J3184">
            <v>1.04</v>
          </cell>
          <cell r="K3184" t="str">
            <v>Low</v>
          </cell>
          <cell r="AB3184">
            <v>0</v>
          </cell>
        </row>
        <row r="3185">
          <cell r="B3185" t="str">
            <v>Muralidharan S</v>
          </cell>
          <cell r="I3185" t="str">
            <v>Correct</v>
          </cell>
          <cell r="J3185">
            <v>1.49</v>
          </cell>
          <cell r="K3185" t="str">
            <v>Low</v>
          </cell>
          <cell r="AB3185">
            <v>1</v>
          </cell>
        </row>
        <row r="3186">
          <cell r="B3186" t="str">
            <v>Muralidharan S</v>
          </cell>
          <cell r="I3186" t="str">
            <v>Correct</v>
          </cell>
          <cell r="J3186">
            <v>1.39</v>
          </cell>
          <cell r="K3186" t="str">
            <v>Low</v>
          </cell>
          <cell r="AB3186">
            <v>1</v>
          </cell>
        </row>
        <row r="3187">
          <cell r="B3187" t="str">
            <v>Muralidharan S</v>
          </cell>
          <cell r="I3187" t="str">
            <v>Correct</v>
          </cell>
          <cell r="J3187">
            <v>1.4</v>
          </cell>
          <cell r="K3187" t="str">
            <v>Low</v>
          </cell>
          <cell r="AB3187">
            <v>2</v>
          </cell>
        </row>
        <row r="3188">
          <cell r="B3188" t="str">
            <v>Muralidharan S</v>
          </cell>
          <cell r="I3188" t="str">
            <v>Correct</v>
          </cell>
          <cell r="J3188">
            <v>1.3</v>
          </cell>
          <cell r="K3188" t="str">
            <v>Low</v>
          </cell>
          <cell r="AB3188">
            <v>1</v>
          </cell>
        </row>
        <row r="3189">
          <cell r="B3189" t="str">
            <v>Muralidharan S</v>
          </cell>
          <cell r="I3189" t="str">
            <v>Correct</v>
          </cell>
          <cell r="J3189">
            <v>1.46</v>
          </cell>
          <cell r="K3189" t="str">
            <v>Low</v>
          </cell>
          <cell r="AB3189">
            <v>2</v>
          </cell>
        </row>
        <row r="3190">
          <cell r="B3190" t="str">
            <v>Muralidharan S</v>
          </cell>
          <cell r="I3190" t="str">
            <v>Correct</v>
          </cell>
          <cell r="J3190">
            <v>1.07</v>
          </cell>
          <cell r="K3190" t="str">
            <v>Low</v>
          </cell>
          <cell r="AB3190">
            <v>2</v>
          </cell>
        </row>
        <row r="3191">
          <cell r="B3191" t="str">
            <v>Muralidharan S</v>
          </cell>
          <cell r="I3191" t="str">
            <v>Correct</v>
          </cell>
          <cell r="J3191">
            <v>1.94</v>
          </cell>
          <cell r="K3191" t="str">
            <v>Medium</v>
          </cell>
          <cell r="AB3191">
            <v>1.86</v>
          </cell>
        </row>
        <row r="3192">
          <cell r="B3192" t="str">
            <v>Muralidharan S</v>
          </cell>
          <cell r="I3192" t="str">
            <v>Correct</v>
          </cell>
          <cell r="J3192">
            <v>1.86</v>
          </cell>
          <cell r="K3192" t="str">
            <v>Medium</v>
          </cell>
          <cell r="AB3192">
            <v>1.94</v>
          </cell>
        </row>
        <row r="3193">
          <cell r="B3193" t="str">
            <v>Muralidharan S</v>
          </cell>
          <cell r="I3193" t="str">
            <v>Correct</v>
          </cell>
          <cell r="J3193">
            <v>2.2599999999999998</v>
          </cell>
          <cell r="K3193" t="str">
            <v>Medium</v>
          </cell>
          <cell r="AB3193">
            <v>1.59</v>
          </cell>
        </row>
        <row r="3194">
          <cell r="B3194" t="str">
            <v>Muralidharan S</v>
          </cell>
          <cell r="I3194" t="str">
            <v>Wrong</v>
          </cell>
          <cell r="J3194">
            <v>1.39</v>
          </cell>
          <cell r="K3194" t="str">
            <v>Medium</v>
          </cell>
          <cell r="AB3194">
            <v>0</v>
          </cell>
        </row>
        <row r="3195">
          <cell r="B3195" t="str">
            <v>Muralidharan S</v>
          </cell>
          <cell r="I3195" t="str">
            <v>Correct</v>
          </cell>
          <cell r="J3195">
            <v>1.88</v>
          </cell>
          <cell r="K3195" t="str">
            <v>Medium</v>
          </cell>
          <cell r="AB3195">
            <v>1.91</v>
          </cell>
        </row>
        <row r="3196">
          <cell r="B3196" t="str">
            <v>Muralidharan S</v>
          </cell>
          <cell r="I3196" t="str">
            <v>Correct</v>
          </cell>
          <cell r="J3196">
            <v>1.66</v>
          </cell>
          <cell r="K3196" t="str">
            <v>Medium</v>
          </cell>
          <cell r="AB3196">
            <v>2</v>
          </cell>
        </row>
        <row r="3197">
          <cell r="B3197" t="str">
            <v>Muralidharan S</v>
          </cell>
          <cell r="I3197" t="str">
            <v>Correct</v>
          </cell>
          <cell r="J3197">
            <v>1.42</v>
          </cell>
          <cell r="K3197" t="str">
            <v>High</v>
          </cell>
          <cell r="AB3197">
            <v>3</v>
          </cell>
        </row>
        <row r="3198">
          <cell r="B3198" t="str">
            <v>Muralidharan S</v>
          </cell>
          <cell r="I3198" t="str">
            <v>Wrong</v>
          </cell>
          <cell r="J3198">
            <v>2.0499999999999998</v>
          </cell>
          <cell r="K3198" t="str">
            <v>High</v>
          </cell>
          <cell r="AB3198">
            <v>0</v>
          </cell>
        </row>
        <row r="3199">
          <cell r="B3199" t="str">
            <v>Muralidharan S</v>
          </cell>
          <cell r="I3199" t="str">
            <v>Correct</v>
          </cell>
          <cell r="J3199">
            <v>1.81</v>
          </cell>
          <cell r="K3199" t="str">
            <v>High</v>
          </cell>
          <cell r="AB3199">
            <v>3</v>
          </cell>
        </row>
        <row r="3200">
          <cell r="B3200" t="str">
            <v>Muralidharan S</v>
          </cell>
          <cell r="I3200" t="str">
            <v>Wrong</v>
          </cell>
          <cell r="J3200">
            <v>2.2400000000000002</v>
          </cell>
          <cell r="K3200" t="str">
            <v>High</v>
          </cell>
          <cell r="AB3200">
            <v>0</v>
          </cell>
        </row>
        <row r="3201">
          <cell r="B3201" t="str">
            <v>Muralidharan S</v>
          </cell>
          <cell r="I3201" t="str">
            <v>Correct</v>
          </cell>
          <cell r="J3201">
            <v>2.2799999999999998</v>
          </cell>
          <cell r="K3201" t="str">
            <v>High</v>
          </cell>
          <cell r="AB3201">
            <v>2.63</v>
          </cell>
        </row>
        <row r="3202">
          <cell r="B3202" t="str">
            <v>Nandha Kumar</v>
          </cell>
          <cell r="I3202" t="str">
            <v>Correct</v>
          </cell>
          <cell r="J3202">
            <v>1.21</v>
          </cell>
          <cell r="K3202" t="str">
            <v>Low</v>
          </cell>
          <cell r="AB3202">
            <v>2</v>
          </cell>
        </row>
        <row r="3203">
          <cell r="B3203" t="str">
            <v>Nandha Kumar</v>
          </cell>
          <cell r="I3203" t="str">
            <v>Correct</v>
          </cell>
          <cell r="J3203">
            <v>1.77</v>
          </cell>
          <cell r="K3203" t="str">
            <v>Low</v>
          </cell>
          <cell r="AB3203">
            <v>0.85</v>
          </cell>
        </row>
        <row r="3204">
          <cell r="B3204" t="str">
            <v>Nandha Kumar</v>
          </cell>
          <cell r="I3204" t="str">
            <v>Correct</v>
          </cell>
          <cell r="J3204">
            <v>1.35</v>
          </cell>
          <cell r="K3204" t="str">
            <v>Low</v>
          </cell>
          <cell r="AB3204">
            <v>2</v>
          </cell>
        </row>
        <row r="3205">
          <cell r="B3205" t="str">
            <v>Nandha Kumar</v>
          </cell>
          <cell r="I3205" t="str">
            <v>Correct</v>
          </cell>
          <cell r="J3205">
            <v>1.99</v>
          </cell>
          <cell r="K3205" t="str">
            <v>Low</v>
          </cell>
          <cell r="AB3205">
            <v>0.75</v>
          </cell>
        </row>
        <row r="3206">
          <cell r="B3206" t="str">
            <v>Nandha Kumar</v>
          </cell>
          <cell r="I3206" t="str">
            <v>Correct</v>
          </cell>
          <cell r="J3206">
            <v>1.87</v>
          </cell>
          <cell r="K3206" t="str">
            <v>Low</v>
          </cell>
          <cell r="AB3206">
            <v>0.8</v>
          </cell>
        </row>
        <row r="3207">
          <cell r="B3207" t="str">
            <v>Nandha Kumar</v>
          </cell>
          <cell r="I3207" t="str">
            <v>Wrong</v>
          </cell>
          <cell r="J3207">
            <v>1.79</v>
          </cell>
          <cell r="K3207" t="str">
            <v>Low</v>
          </cell>
          <cell r="AB3207">
            <v>0</v>
          </cell>
        </row>
        <row r="3208">
          <cell r="B3208" t="str">
            <v>Nandha Kumar</v>
          </cell>
          <cell r="I3208" t="str">
            <v>Correct</v>
          </cell>
          <cell r="J3208">
            <v>1.71</v>
          </cell>
          <cell r="K3208" t="str">
            <v>Low</v>
          </cell>
          <cell r="AB3208">
            <v>0.88</v>
          </cell>
        </row>
        <row r="3209">
          <cell r="B3209" t="str">
            <v>Nandha Kumar</v>
          </cell>
          <cell r="I3209" t="str">
            <v>Correct</v>
          </cell>
          <cell r="J3209">
            <v>1.48</v>
          </cell>
          <cell r="K3209" t="str">
            <v>Low</v>
          </cell>
          <cell r="AB3209">
            <v>2</v>
          </cell>
        </row>
        <row r="3210">
          <cell r="B3210" t="str">
            <v>Nandha Kumar</v>
          </cell>
          <cell r="I3210" t="str">
            <v>Correct</v>
          </cell>
          <cell r="J3210">
            <v>1.24</v>
          </cell>
          <cell r="K3210" t="str">
            <v>Low</v>
          </cell>
          <cell r="AB3210">
            <v>2</v>
          </cell>
        </row>
        <row r="3211">
          <cell r="B3211" t="str">
            <v>Nandha Kumar</v>
          </cell>
          <cell r="I3211" t="str">
            <v>Wrong</v>
          </cell>
          <cell r="J3211">
            <v>1.35</v>
          </cell>
          <cell r="K3211" t="str">
            <v>Medium</v>
          </cell>
          <cell r="AB3211">
            <v>0</v>
          </cell>
        </row>
        <row r="3212">
          <cell r="B3212" t="str">
            <v>Nandha Kumar</v>
          </cell>
          <cell r="I3212" t="str">
            <v>Wrong</v>
          </cell>
          <cell r="J3212">
            <v>1.51</v>
          </cell>
          <cell r="K3212" t="str">
            <v>Medium</v>
          </cell>
          <cell r="AB3212">
            <v>0</v>
          </cell>
        </row>
        <row r="3213">
          <cell r="B3213" t="str">
            <v>Nandha Kumar</v>
          </cell>
          <cell r="I3213" t="str">
            <v>Correct</v>
          </cell>
          <cell r="J3213">
            <v>1.84</v>
          </cell>
          <cell r="K3213" t="str">
            <v>Medium</v>
          </cell>
          <cell r="AB3213">
            <v>1.96</v>
          </cell>
        </row>
        <row r="3214">
          <cell r="B3214" t="str">
            <v>Nandha Kumar</v>
          </cell>
          <cell r="I3214" t="str">
            <v>Correct</v>
          </cell>
          <cell r="J3214">
            <v>1.3</v>
          </cell>
          <cell r="K3214" t="str">
            <v>Medium</v>
          </cell>
          <cell r="AB3214">
            <v>2</v>
          </cell>
        </row>
        <row r="3215">
          <cell r="B3215" t="str">
            <v>Nandha Kumar</v>
          </cell>
          <cell r="I3215" t="str">
            <v>Wrong</v>
          </cell>
          <cell r="J3215">
            <v>2.1800000000000002</v>
          </cell>
          <cell r="K3215" t="str">
            <v>Medium</v>
          </cell>
          <cell r="AB3215">
            <v>0</v>
          </cell>
        </row>
        <row r="3216">
          <cell r="B3216" t="str">
            <v>Nandha Kumar</v>
          </cell>
          <cell r="I3216" t="str">
            <v>Correct</v>
          </cell>
          <cell r="J3216">
            <v>1.75</v>
          </cell>
          <cell r="K3216" t="str">
            <v>Medium</v>
          </cell>
          <cell r="AB3216">
            <v>2</v>
          </cell>
        </row>
        <row r="3217">
          <cell r="B3217" t="str">
            <v>Nandha Kumar</v>
          </cell>
          <cell r="I3217" t="str">
            <v>Wrong</v>
          </cell>
          <cell r="J3217">
            <v>2.25</v>
          </cell>
          <cell r="K3217" t="str">
            <v>High</v>
          </cell>
          <cell r="AB3217">
            <v>0</v>
          </cell>
        </row>
        <row r="3218">
          <cell r="B3218" t="str">
            <v>Nandha Kumar</v>
          </cell>
          <cell r="I3218" t="str">
            <v>Correct</v>
          </cell>
          <cell r="J3218">
            <v>1.53</v>
          </cell>
          <cell r="K3218" t="str">
            <v>High</v>
          </cell>
          <cell r="AB3218">
            <v>3</v>
          </cell>
        </row>
        <row r="3219">
          <cell r="B3219" t="str">
            <v>Nandha Kumar</v>
          </cell>
          <cell r="I3219" t="str">
            <v>Wrong</v>
          </cell>
          <cell r="J3219">
            <v>1.5</v>
          </cell>
          <cell r="K3219" t="str">
            <v>High</v>
          </cell>
          <cell r="AB3219">
            <v>0</v>
          </cell>
        </row>
        <row r="3220">
          <cell r="B3220" t="str">
            <v>Nandha Kumar</v>
          </cell>
          <cell r="I3220" t="str">
            <v>Correct</v>
          </cell>
          <cell r="J3220">
            <v>2.48</v>
          </cell>
          <cell r="K3220" t="str">
            <v>High</v>
          </cell>
          <cell r="AB3220">
            <v>2.42</v>
          </cell>
        </row>
        <row r="3221">
          <cell r="B3221" t="str">
            <v>Nandha Kumar</v>
          </cell>
          <cell r="I3221" t="str">
            <v>Correct</v>
          </cell>
          <cell r="J3221">
            <v>1.89</v>
          </cell>
          <cell r="K3221" t="str">
            <v>High</v>
          </cell>
          <cell r="AB3221">
            <v>3</v>
          </cell>
        </row>
        <row r="3222">
          <cell r="B3222" t="str">
            <v>Parthiban R</v>
          </cell>
          <cell r="I3222" t="str">
            <v>Correct</v>
          </cell>
          <cell r="J3222">
            <v>1.21</v>
          </cell>
          <cell r="K3222" t="str">
            <v>Low</v>
          </cell>
          <cell r="AB3222">
            <v>2</v>
          </cell>
        </row>
        <row r="3223">
          <cell r="B3223" t="str">
            <v>Parthiban R</v>
          </cell>
          <cell r="I3223" t="str">
            <v>Correct</v>
          </cell>
          <cell r="J3223">
            <v>0.93</v>
          </cell>
          <cell r="K3223" t="str">
            <v>Low</v>
          </cell>
          <cell r="AB3223">
            <v>1</v>
          </cell>
        </row>
        <row r="3224">
          <cell r="B3224" t="str">
            <v>Parthiban R</v>
          </cell>
          <cell r="I3224" t="str">
            <v>Correct</v>
          </cell>
          <cell r="J3224">
            <v>1.42</v>
          </cell>
          <cell r="K3224" t="str">
            <v>Low</v>
          </cell>
          <cell r="AB3224">
            <v>2</v>
          </cell>
        </row>
        <row r="3225">
          <cell r="B3225" t="str">
            <v>Parthiban R</v>
          </cell>
          <cell r="I3225" t="str">
            <v>Correct</v>
          </cell>
          <cell r="J3225">
            <v>1.0900000000000001</v>
          </cell>
          <cell r="K3225" t="str">
            <v>Low</v>
          </cell>
          <cell r="AB3225">
            <v>1</v>
          </cell>
        </row>
        <row r="3226">
          <cell r="B3226" t="str">
            <v>Parthiban R</v>
          </cell>
          <cell r="I3226" t="str">
            <v>Correct</v>
          </cell>
          <cell r="J3226">
            <v>0.97</v>
          </cell>
          <cell r="K3226" t="str">
            <v>Low</v>
          </cell>
          <cell r="AB3226">
            <v>1</v>
          </cell>
        </row>
        <row r="3227">
          <cell r="B3227" t="str">
            <v>Parthiban R</v>
          </cell>
          <cell r="I3227" t="str">
            <v>Wrong</v>
          </cell>
          <cell r="J3227">
            <v>1</v>
          </cell>
          <cell r="K3227" t="str">
            <v>Low</v>
          </cell>
          <cell r="AB3227">
            <v>0</v>
          </cell>
        </row>
        <row r="3228">
          <cell r="B3228" t="str">
            <v>Parthiban R</v>
          </cell>
          <cell r="I3228" t="str">
            <v>Correct</v>
          </cell>
          <cell r="J3228">
            <v>1.78</v>
          </cell>
          <cell r="K3228" t="str">
            <v>Low</v>
          </cell>
          <cell r="AB3228">
            <v>0.84</v>
          </cell>
        </row>
        <row r="3229">
          <cell r="B3229" t="str">
            <v>Parthiban R</v>
          </cell>
          <cell r="I3229" t="str">
            <v>Correct</v>
          </cell>
          <cell r="J3229">
            <v>1.48</v>
          </cell>
          <cell r="K3229" t="str">
            <v>Low</v>
          </cell>
          <cell r="AB3229">
            <v>2</v>
          </cell>
        </row>
        <row r="3230">
          <cell r="B3230" t="str">
            <v>Parthiban R</v>
          </cell>
          <cell r="I3230" t="str">
            <v>Correct</v>
          </cell>
          <cell r="J3230">
            <v>1.87</v>
          </cell>
          <cell r="K3230" t="str">
            <v>Low</v>
          </cell>
          <cell r="AB3230">
            <v>1.6</v>
          </cell>
        </row>
        <row r="3231">
          <cell r="B3231" t="str">
            <v>Parthiban R</v>
          </cell>
          <cell r="I3231" t="str">
            <v>Correct</v>
          </cell>
          <cell r="J3231">
            <v>1.79</v>
          </cell>
          <cell r="K3231" t="str">
            <v>Medium</v>
          </cell>
          <cell r="AB3231">
            <v>2</v>
          </cell>
        </row>
        <row r="3232">
          <cell r="B3232" t="str">
            <v>Parthiban R</v>
          </cell>
          <cell r="I3232" t="str">
            <v>Correct</v>
          </cell>
          <cell r="J3232">
            <v>1.87</v>
          </cell>
          <cell r="K3232" t="str">
            <v>Medium</v>
          </cell>
          <cell r="AB3232">
            <v>1.93</v>
          </cell>
        </row>
        <row r="3233">
          <cell r="B3233" t="str">
            <v>Parthiban R</v>
          </cell>
          <cell r="I3233" t="str">
            <v>Correct</v>
          </cell>
          <cell r="J3233">
            <v>2.0499999999999998</v>
          </cell>
          <cell r="K3233" t="str">
            <v>Medium</v>
          </cell>
          <cell r="AB3233">
            <v>1.76</v>
          </cell>
        </row>
        <row r="3234">
          <cell r="B3234" t="str">
            <v>Parthiban R</v>
          </cell>
          <cell r="I3234" t="str">
            <v>Wrong</v>
          </cell>
          <cell r="J3234">
            <v>2.08</v>
          </cell>
          <cell r="K3234" t="str">
            <v>Medium</v>
          </cell>
          <cell r="AB3234">
            <v>0</v>
          </cell>
        </row>
        <row r="3235">
          <cell r="B3235" t="str">
            <v>Parthiban R</v>
          </cell>
          <cell r="I3235" t="str">
            <v>Correct</v>
          </cell>
          <cell r="J3235">
            <v>2.2200000000000002</v>
          </cell>
          <cell r="K3235" t="str">
            <v>Medium</v>
          </cell>
          <cell r="AB3235">
            <v>1.62</v>
          </cell>
        </row>
        <row r="3236">
          <cell r="B3236" t="str">
            <v>Parthiban R</v>
          </cell>
          <cell r="I3236" t="str">
            <v>Correct</v>
          </cell>
          <cell r="J3236">
            <v>2.2200000000000002</v>
          </cell>
          <cell r="K3236" t="str">
            <v>Medium</v>
          </cell>
          <cell r="AB3236">
            <v>1.62</v>
          </cell>
        </row>
        <row r="3237">
          <cell r="B3237" t="str">
            <v>Parthiban R</v>
          </cell>
          <cell r="I3237" t="str">
            <v>Correct</v>
          </cell>
          <cell r="J3237">
            <v>2.2200000000000002</v>
          </cell>
          <cell r="K3237" t="str">
            <v>High</v>
          </cell>
          <cell r="AB3237">
            <v>2.7</v>
          </cell>
        </row>
        <row r="3238">
          <cell r="B3238" t="str">
            <v>Parthiban R</v>
          </cell>
          <cell r="I3238" t="str">
            <v>Correct</v>
          </cell>
          <cell r="J3238">
            <v>2.44</v>
          </cell>
          <cell r="K3238" t="str">
            <v>High</v>
          </cell>
          <cell r="AB3238">
            <v>2.46</v>
          </cell>
        </row>
        <row r="3239">
          <cell r="B3239" t="str">
            <v>Parthiban R</v>
          </cell>
          <cell r="I3239" t="str">
            <v>Wrong</v>
          </cell>
          <cell r="J3239">
            <v>2.2200000000000002</v>
          </cell>
          <cell r="K3239" t="str">
            <v>High</v>
          </cell>
          <cell r="AB3239">
            <v>0</v>
          </cell>
        </row>
        <row r="3240">
          <cell r="B3240" t="str">
            <v>Parthiban R</v>
          </cell>
          <cell r="I3240" t="str">
            <v>Wrong</v>
          </cell>
          <cell r="J3240">
            <v>2.04</v>
          </cell>
          <cell r="K3240" t="str">
            <v>High</v>
          </cell>
          <cell r="AB3240">
            <v>0</v>
          </cell>
        </row>
        <row r="3241">
          <cell r="B3241" t="str">
            <v>Parthiban R</v>
          </cell>
          <cell r="I3241" t="str">
            <v>Wrong</v>
          </cell>
          <cell r="J3241">
            <v>1.85</v>
          </cell>
          <cell r="K3241" t="str">
            <v>High</v>
          </cell>
          <cell r="AB3241">
            <v>0</v>
          </cell>
        </row>
        <row r="3242">
          <cell r="B3242" t="str">
            <v>Ramesh Babu</v>
          </cell>
          <cell r="I3242" t="str">
            <v>Correct</v>
          </cell>
          <cell r="J3242">
            <v>1.1499999999999999</v>
          </cell>
          <cell r="K3242" t="str">
            <v>Low</v>
          </cell>
          <cell r="AB3242">
            <v>2</v>
          </cell>
        </row>
        <row r="3243">
          <cell r="B3243" t="str">
            <v>Ramesh Babu</v>
          </cell>
          <cell r="I3243" t="str">
            <v>Correct</v>
          </cell>
          <cell r="J3243">
            <v>1.87</v>
          </cell>
          <cell r="K3243" t="str">
            <v>Low</v>
          </cell>
          <cell r="AB3243">
            <v>0.8</v>
          </cell>
        </row>
        <row r="3244">
          <cell r="B3244" t="str">
            <v>Ramesh Babu</v>
          </cell>
          <cell r="I3244" t="str">
            <v>Wrong</v>
          </cell>
          <cell r="J3244">
            <v>1.19</v>
          </cell>
          <cell r="K3244" t="str">
            <v>Low</v>
          </cell>
          <cell r="AB3244">
            <v>0</v>
          </cell>
        </row>
        <row r="3245">
          <cell r="B3245" t="str">
            <v>Ramesh Babu</v>
          </cell>
          <cell r="I3245" t="str">
            <v>Correct</v>
          </cell>
          <cell r="J3245">
            <v>1.27</v>
          </cell>
          <cell r="K3245" t="str">
            <v>Low</v>
          </cell>
          <cell r="AB3245">
            <v>1</v>
          </cell>
        </row>
        <row r="3246">
          <cell r="B3246" t="str">
            <v>Ramesh Babu</v>
          </cell>
          <cell r="I3246" t="str">
            <v>Correct</v>
          </cell>
          <cell r="J3246">
            <v>1.79</v>
          </cell>
          <cell r="K3246" t="str">
            <v>Low</v>
          </cell>
          <cell r="AB3246">
            <v>0.84</v>
          </cell>
        </row>
        <row r="3247">
          <cell r="B3247" t="str">
            <v>Ramesh Babu</v>
          </cell>
          <cell r="I3247" t="str">
            <v>Wrong</v>
          </cell>
          <cell r="J3247">
            <v>1.07</v>
          </cell>
          <cell r="K3247" t="str">
            <v>Low</v>
          </cell>
          <cell r="AB3247">
            <v>0</v>
          </cell>
        </row>
        <row r="3248">
          <cell r="B3248" t="str">
            <v>Ramesh Babu</v>
          </cell>
          <cell r="I3248" t="str">
            <v>Correct</v>
          </cell>
          <cell r="J3248">
            <v>1.0900000000000001</v>
          </cell>
          <cell r="K3248" t="str">
            <v>Low</v>
          </cell>
          <cell r="AB3248">
            <v>1</v>
          </cell>
        </row>
        <row r="3249">
          <cell r="B3249" t="str">
            <v>Ramesh Babu</v>
          </cell>
          <cell r="I3249" t="str">
            <v>Correct</v>
          </cell>
          <cell r="J3249">
            <v>1.18</v>
          </cell>
          <cell r="K3249" t="str">
            <v>Low</v>
          </cell>
          <cell r="AB3249">
            <v>2</v>
          </cell>
        </row>
        <row r="3250">
          <cell r="B3250" t="str">
            <v>Ramesh Babu</v>
          </cell>
          <cell r="I3250" t="str">
            <v>Correct</v>
          </cell>
          <cell r="J3250">
            <v>1.45</v>
          </cell>
          <cell r="K3250" t="str">
            <v>Low</v>
          </cell>
          <cell r="AB3250">
            <v>2</v>
          </cell>
        </row>
        <row r="3251">
          <cell r="B3251" t="str">
            <v>Ramesh Babu</v>
          </cell>
          <cell r="I3251" t="str">
            <v>Correct</v>
          </cell>
          <cell r="J3251">
            <v>2</v>
          </cell>
          <cell r="K3251" t="str">
            <v>Medium</v>
          </cell>
          <cell r="AB3251">
            <v>1.8</v>
          </cell>
        </row>
        <row r="3252">
          <cell r="B3252" t="str">
            <v>Ramesh Babu</v>
          </cell>
          <cell r="I3252" t="str">
            <v>Wrong</v>
          </cell>
          <cell r="J3252">
            <v>2.23</v>
          </cell>
          <cell r="K3252" t="str">
            <v>Medium</v>
          </cell>
          <cell r="AB3252">
            <v>0</v>
          </cell>
        </row>
        <row r="3253">
          <cell r="B3253" t="str">
            <v>Ramesh Babu</v>
          </cell>
          <cell r="I3253" t="str">
            <v>Correct</v>
          </cell>
          <cell r="J3253">
            <v>2.08</v>
          </cell>
          <cell r="K3253" t="str">
            <v>Medium</v>
          </cell>
          <cell r="AB3253">
            <v>1.73</v>
          </cell>
        </row>
        <row r="3254">
          <cell r="B3254" t="str">
            <v>Ramesh Babu</v>
          </cell>
          <cell r="I3254" t="str">
            <v>Wrong</v>
          </cell>
          <cell r="J3254">
            <v>1.48</v>
          </cell>
          <cell r="K3254" t="str">
            <v>Medium</v>
          </cell>
          <cell r="AB3254">
            <v>0</v>
          </cell>
        </row>
        <row r="3255">
          <cell r="B3255" t="str">
            <v>Ramesh Babu</v>
          </cell>
          <cell r="I3255" t="str">
            <v>Correct</v>
          </cell>
          <cell r="J3255">
            <v>1.7</v>
          </cell>
          <cell r="K3255" t="str">
            <v>Medium</v>
          </cell>
          <cell r="AB3255">
            <v>2</v>
          </cell>
        </row>
        <row r="3256">
          <cell r="B3256" t="str">
            <v>Ramesh Babu</v>
          </cell>
          <cell r="I3256" t="str">
            <v>Correct</v>
          </cell>
          <cell r="J3256">
            <v>1.84</v>
          </cell>
          <cell r="K3256" t="str">
            <v>Medium</v>
          </cell>
          <cell r="AB3256">
            <v>1.96</v>
          </cell>
        </row>
        <row r="3257">
          <cell r="B3257" t="str">
            <v>Ramesh Babu</v>
          </cell>
          <cell r="I3257" t="str">
            <v>Wrong</v>
          </cell>
          <cell r="J3257">
            <v>1.98</v>
          </cell>
          <cell r="K3257" t="str">
            <v>High</v>
          </cell>
          <cell r="AB3257">
            <v>0</v>
          </cell>
        </row>
        <row r="3258">
          <cell r="B3258" t="str">
            <v>Ramesh Babu</v>
          </cell>
          <cell r="I3258" t="str">
            <v>Wrong</v>
          </cell>
          <cell r="J3258">
            <v>1.97</v>
          </cell>
          <cell r="K3258" t="str">
            <v>High</v>
          </cell>
          <cell r="AB3258">
            <v>0</v>
          </cell>
        </row>
        <row r="3259">
          <cell r="B3259" t="str">
            <v>Ramesh Babu</v>
          </cell>
          <cell r="I3259" t="str">
            <v>Correct</v>
          </cell>
          <cell r="J3259">
            <v>2.17</v>
          </cell>
          <cell r="K3259" t="str">
            <v>High</v>
          </cell>
          <cell r="AB3259">
            <v>2.77</v>
          </cell>
        </row>
        <row r="3260">
          <cell r="B3260" t="str">
            <v>Ramesh Babu</v>
          </cell>
          <cell r="I3260" t="str">
            <v>Wrong</v>
          </cell>
          <cell r="J3260">
            <v>1.62</v>
          </cell>
          <cell r="K3260" t="str">
            <v>High</v>
          </cell>
          <cell r="AB3260">
            <v>0</v>
          </cell>
        </row>
        <row r="3261">
          <cell r="B3261" t="str">
            <v>Ramesh Babu</v>
          </cell>
          <cell r="I3261" t="str">
            <v>Wrong</v>
          </cell>
          <cell r="J3261">
            <v>1.93</v>
          </cell>
          <cell r="K3261" t="str">
            <v>High</v>
          </cell>
          <cell r="AB3261">
            <v>0</v>
          </cell>
        </row>
        <row r="3262">
          <cell r="B3262" t="str">
            <v>Srinath M</v>
          </cell>
          <cell r="I3262" t="str">
            <v>Correct</v>
          </cell>
          <cell r="J3262">
            <v>1.22</v>
          </cell>
          <cell r="K3262" t="str">
            <v>Low</v>
          </cell>
          <cell r="AB3262">
            <v>2</v>
          </cell>
        </row>
        <row r="3263">
          <cell r="B3263" t="str">
            <v>Srinath M</v>
          </cell>
          <cell r="I3263" t="str">
            <v>Correct</v>
          </cell>
          <cell r="J3263">
            <v>1.77</v>
          </cell>
          <cell r="K3263" t="str">
            <v>Low</v>
          </cell>
          <cell r="AB3263">
            <v>0.85</v>
          </cell>
        </row>
        <row r="3264">
          <cell r="B3264" t="str">
            <v>Srinath M</v>
          </cell>
          <cell r="I3264" t="str">
            <v>Correct</v>
          </cell>
          <cell r="J3264">
            <v>1.29</v>
          </cell>
          <cell r="K3264" t="str">
            <v>Low</v>
          </cell>
          <cell r="AB3264">
            <v>2</v>
          </cell>
        </row>
        <row r="3265">
          <cell r="B3265" t="str">
            <v>Srinath M</v>
          </cell>
          <cell r="I3265" t="str">
            <v>Wrong</v>
          </cell>
          <cell r="J3265">
            <v>1.74</v>
          </cell>
          <cell r="K3265" t="str">
            <v>Low</v>
          </cell>
          <cell r="AB3265">
            <v>0</v>
          </cell>
        </row>
        <row r="3266">
          <cell r="B3266" t="str">
            <v>Srinath M</v>
          </cell>
          <cell r="I3266" t="str">
            <v>Correct</v>
          </cell>
          <cell r="J3266">
            <v>1.27</v>
          </cell>
          <cell r="K3266" t="str">
            <v>Low</v>
          </cell>
          <cell r="AB3266">
            <v>1</v>
          </cell>
        </row>
        <row r="3267">
          <cell r="B3267" t="str">
            <v>Srinath M</v>
          </cell>
          <cell r="I3267" t="str">
            <v>Correct</v>
          </cell>
          <cell r="J3267">
            <v>1.61</v>
          </cell>
          <cell r="K3267" t="str">
            <v>Low</v>
          </cell>
          <cell r="AB3267">
            <v>1.86</v>
          </cell>
        </row>
        <row r="3268">
          <cell r="B3268" t="str">
            <v>Srinath M</v>
          </cell>
          <cell r="I3268" t="str">
            <v>Correct</v>
          </cell>
          <cell r="J3268">
            <v>1.99</v>
          </cell>
          <cell r="K3268" t="str">
            <v>Low</v>
          </cell>
          <cell r="AB3268">
            <v>0.75</v>
          </cell>
        </row>
        <row r="3269">
          <cell r="B3269" t="str">
            <v>Srinath M</v>
          </cell>
          <cell r="I3269" t="str">
            <v>Correct</v>
          </cell>
          <cell r="J3269">
            <v>1.74</v>
          </cell>
          <cell r="K3269" t="str">
            <v>Low</v>
          </cell>
          <cell r="AB3269">
            <v>1.72</v>
          </cell>
        </row>
        <row r="3270">
          <cell r="B3270" t="str">
            <v>Srinath M</v>
          </cell>
          <cell r="I3270" t="str">
            <v>Correct</v>
          </cell>
          <cell r="J3270">
            <v>1.69</v>
          </cell>
          <cell r="K3270" t="str">
            <v>Low</v>
          </cell>
          <cell r="AB3270">
            <v>1.78</v>
          </cell>
        </row>
        <row r="3271">
          <cell r="B3271" t="str">
            <v>Srinath M</v>
          </cell>
          <cell r="I3271" t="str">
            <v>Correct</v>
          </cell>
          <cell r="J3271">
            <v>1.77</v>
          </cell>
          <cell r="K3271" t="str">
            <v>Medium</v>
          </cell>
          <cell r="AB3271">
            <v>2</v>
          </cell>
        </row>
        <row r="3272">
          <cell r="B3272" t="str">
            <v>Srinath M</v>
          </cell>
          <cell r="I3272" t="str">
            <v>Correct</v>
          </cell>
          <cell r="J3272">
            <v>1.76</v>
          </cell>
          <cell r="K3272" t="str">
            <v>Medium</v>
          </cell>
          <cell r="AB3272">
            <v>2</v>
          </cell>
        </row>
        <row r="3273">
          <cell r="B3273" t="str">
            <v>Srinath M</v>
          </cell>
          <cell r="I3273" t="str">
            <v>Wrong</v>
          </cell>
          <cell r="J3273">
            <v>1.19</v>
          </cell>
          <cell r="K3273" t="str">
            <v>Medium</v>
          </cell>
          <cell r="AB3273">
            <v>0</v>
          </cell>
        </row>
        <row r="3274">
          <cell r="B3274" t="str">
            <v>Srinath M</v>
          </cell>
          <cell r="I3274" t="str">
            <v>Correct</v>
          </cell>
          <cell r="J3274">
            <v>1.7</v>
          </cell>
          <cell r="K3274" t="str">
            <v>Medium</v>
          </cell>
          <cell r="AB3274">
            <v>2</v>
          </cell>
        </row>
        <row r="3275">
          <cell r="B3275" t="str">
            <v>Srinath M</v>
          </cell>
          <cell r="I3275" t="str">
            <v>Correct</v>
          </cell>
          <cell r="J3275">
            <v>1.38</v>
          </cell>
          <cell r="K3275" t="str">
            <v>Medium</v>
          </cell>
          <cell r="AB3275">
            <v>2</v>
          </cell>
        </row>
        <row r="3276">
          <cell r="B3276" t="str">
            <v>Srinath M</v>
          </cell>
          <cell r="I3276" t="str">
            <v>Wrong</v>
          </cell>
          <cell r="J3276">
            <v>2</v>
          </cell>
          <cell r="K3276" t="str">
            <v>Medium</v>
          </cell>
          <cell r="AB3276">
            <v>0</v>
          </cell>
        </row>
        <row r="3277">
          <cell r="B3277" t="str">
            <v>Srinath M</v>
          </cell>
          <cell r="I3277" t="str">
            <v>Correct</v>
          </cell>
          <cell r="J3277">
            <v>1.46</v>
          </cell>
          <cell r="K3277" t="str">
            <v>High</v>
          </cell>
          <cell r="AB3277">
            <v>3</v>
          </cell>
        </row>
        <row r="3278">
          <cell r="B3278" t="str">
            <v>Srinath M</v>
          </cell>
          <cell r="I3278" t="str">
            <v>Correct</v>
          </cell>
          <cell r="J3278">
            <v>1.52</v>
          </cell>
          <cell r="K3278" t="str">
            <v>High</v>
          </cell>
          <cell r="AB3278">
            <v>3</v>
          </cell>
        </row>
        <row r="3279">
          <cell r="B3279" t="str">
            <v>Srinath M</v>
          </cell>
          <cell r="I3279" t="str">
            <v>Wrong</v>
          </cell>
          <cell r="J3279">
            <v>2.5299999999999998</v>
          </cell>
          <cell r="K3279" t="str">
            <v>High</v>
          </cell>
          <cell r="AB3279">
            <v>0</v>
          </cell>
        </row>
        <row r="3280">
          <cell r="B3280" t="str">
            <v>Srinath M</v>
          </cell>
          <cell r="I3280" t="str">
            <v>Wrong</v>
          </cell>
          <cell r="J3280">
            <v>2.02</v>
          </cell>
          <cell r="K3280" t="str">
            <v>High</v>
          </cell>
          <cell r="AB3280">
            <v>0</v>
          </cell>
        </row>
        <row r="3281">
          <cell r="B3281" t="str">
            <v>Srinath M</v>
          </cell>
          <cell r="I3281" t="str">
            <v>Correct</v>
          </cell>
          <cell r="J3281">
            <v>1.36</v>
          </cell>
          <cell r="K3281" t="str">
            <v>High</v>
          </cell>
          <cell r="AB3281">
            <v>3</v>
          </cell>
        </row>
        <row r="3282">
          <cell r="B3282" t="str">
            <v>Thirumalai K</v>
          </cell>
          <cell r="I3282" t="str">
            <v>Correct</v>
          </cell>
          <cell r="J3282">
            <v>1.97</v>
          </cell>
          <cell r="K3282" t="str">
            <v>Low</v>
          </cell>
          <cell r="AB3282">
            <v>1.52</v>
          </cell>
        </row>
        <row r="3283">
          <cell r="B3283" t="str">
            <v>Thirumalai K</v>
          </cell>
          <cell r="I3283" t="str">
            <v>Correct</v>
          </cell>
          <cell r="J3283">
            <v>1.3</v>
          </cell>
          <cell r="K3283" t="str">
            <v>Low</v>
          </cell>
          <cell r="AB3283">
            <v>1</v>
          </cell>
        </row>
        <row r="3284">
          <cell r="B3284" t="str">
            <v>Thirumalai K</v>
          </cell>
          <cell r="I3284" t="str">
            <v>Wrong</v>
          </cell>
          <cell r="J3284">
            <v>1.04</v>
          </cell>
          <cell r="K3284" t="str">
            <v>Low</v>
          </cell>
          <cell r="AB3284">
            <v>0</v>
          </cell>
        </row>
        <row r="3285">
          <cell r="B3285" t="str">
            <v>Thirumalai K</v>
          </cell>
          <cell r="I3285" t="str">
            <v>Correct</v>
          </cell>
          <cell r="J3285">
            <v>1.97</v>
          </cell>
          <cell r="K3285" t="str">
            <v>Low</v>
          </cell>
          <cell r="AB3285">
            <v>0.76</v>
          </cell>
        </row>
        <row r="3286">
          <cell r="B3286" t="str">
            <v>Thirumalai K</v>
          </cell>
          <cell r="I3286" t="str">
            <v>Correct</v>
          </cell>
          <cell r="J3286">
            <v>1.95</v>
          </cell>
          <cell r="K3286" t="str">
            <v>Low</v>
          </cell>
          <cell r="AB3286">
            <v>0.77</v>
          </cell>
        </row>
        <row r="3287">
          <cell r="B3287" t="str">
            <v>Thirumalai K</v>
          </cell>
          <cell r="I3287" t="str">
            <v>Correct</v>
          </cell>
          <cell r="J3287">
            <v>1.49</v>
          </cell>
          <cell r="K3287" t="str">
            <v>Low</v>
          </cell>
          <cell r="AB3287">
            <v>2</v>
          </cell>
        </row>
        <row r="3288">
          <cell r="B3288" t="str">
            <v>Thirumalai K</v>
          </cell>
          <cell r="I3288" t="str">
            <v>Correct</v>
          </cell>
          <cell r="J3288">
            <v>1.91</v>
          </cell>
          <cell r="K3288" t="str">
            <v>Low</v>
          </cell>
          <cell r="AB3288">
            <v>0.79</v>
          </cell>
        </row>
        <row r="3289">
          <cell r="B3289" t="str">
            <v>Thirumalai K</v>
          </cell>
          <cell r="I3289" t="str">
            <v>Correct</v>
          </cell>
          <cell r="J3289">
            <v>1.56</v>
          </cell>
          <cell r="K3289" t="str">
            <v>Low</v>
          </cell>
          <cell r="AB3289">
            <v>1.92</v>
          </cell>
        </row>
        <row r="3290">
          <cell r="B3290" t="str">
            <v>Thirumalai K</v>
          </cell>
          <cell r="I3290" t="str">
            <v>Correct</v>
          </cell>
          <cell r="J3290">
            <v>0.99</v>
          </cell>
          <cell r="K3290" t="str">
            <v>Low</v>
          </cell>
          <cell r="AB3290">
            <v>2</v>
          </cell>
        </row>
        <row r="3291">
          <cell r="B3291" t="str">
            <v>Thirumalai K</v>
          </cell>
          <cell r="I3291" t="str">
            <v>Correct</v>
          </cell>
          <cell r="J3291">
            <v>2.2200000000000002</v>
          </cell>
          <cell r="K3291" t="str">
            <v>Medium</v>
          </cell>
          <cell r="AB3291">
            <v>1.62</v>
          </cell>
        </row>
        <row r="3292">
          <cell r="B3292" t="str">
            <v>Thirumalai K</v>
          </cell>
          <cell r="I3292" t="str">
            <v>Correct</v>
          </cell>
          <cell r="J3292">
            <v>1.4</v>
          </cell>
          <cell r="K3292" t="str">
            <v>Medium</v>
          </cell>
          <cell r="AB3292">
            <v>2</v>
          </cell>
        </row>
        <row r="3293">
          <cell r="B3293" t="str">
            <v>Thirumalai K</v>
          </cell>
          <cell r="I3293" t="str">
            <v>Correct</v>
          </cell>
          <cell r="J3293">
            <v>2.0299999999999998</v>
          </cell>
          <cell r="K3293" t="str">
            <v>Medium</v>
          </cell>
          <cell r="AB3293">
            <v>1.77</v>
          </cell>
        </row>
        <row r="3294">
          <cell r="B3294" t="str">
            <v>Thirumalai K</v>
          </cell>
          <cell r="I3294" t="str">
            <v>Correct</v>
          </cell>
          <cell r="J3294">
            <v>1.58</v>
          </cell>
          <cell r="K3294" t="str">
            <v>Medium</v>
          </cell>
          <cell r="AB3294">
            <v>2</v>
          </cell>
        </row>
        <row r="3295">
          <cell r="B3295" t="str">
            <v>Thirumalai K</v>
          </cell>
          <cell r="I3295" t="str">
            <v>Correct</v>
          </cell>
          <cell r="J3295">
            <v>1.75</v>
          </cell>
          <cell r="K3295" t="str">
            <v>Medium</v>
          </cell>
          <cell r="AB3295">
            <v>2</v>
          </cell>
        </row>
        <row r="3296">
          <cell r="B3296" t="str">
            <v>Thirumalai K</v>
          </cell>
          <cell r="I3296" t="str">
            <v>Wrong</v>
          </cell>
          <cell r="J3296">
            <v>1.2</v>
          </cell>
          <cell r="K3296" t="str">
            <v>Medium</v>
          </cell>
          <cell r="AB3296">
            <v>0</v>
          </cell>
        </row>
        <row r="3297">
          <cell r="B3297" t="str">
            <v>Thirumalai K</v>
          </cell>
          <cell r="I3297" t="str">
            <v>Correct</v>
          </cell>
          <cell r="J3297">
            <v>1.99</v>
          </cell>
          <cell r="K3297" t="str">
            <v>High</v>
          </cell>
          <cell r="AB3297">
            <v>3</v>
          </cell>
        </row>
        <row r="3298">
          <cell r="B3298" t="str">
            <v>Thirumalai K</v>
          </cell>
          <cell r="I3298" t="str">
            <v>Correct</v>
          </cell>
          <cell r="J3298">
            <v>1.61</v>
          </cell>
          <cell r="K3298" t="str">
            <v>High</v>
          </cell>
          <cell r="AB3298">
            <v>3</v>
          </cell>
        </row>
        <row r="3299">
          <cell r="B3299" t="str">
            <v>Thirumalai K</v>
          </cell>
          <cell r="I3299" t="str">
            <v>Wrong</v>
          </cell>
          <cell r="J3299">
            <v>2.57</v>
          </cell>
          <cell r="K3299" t="str">
            <v>High</v>
          </cell>
          <cell r="AB3299">
            <v>0</v>
          </cell>
        </row>
        <row r="3300">
          <cell r="B3300" t="str">
            <v>Thirumalai K</v>
          </cell>
          <cell r="I3300" t="str">
            <v>Correct</v>
          </cell>
          <cell r="J3300">
            <v>1.31</v>
          </cell>
          <cell r="K3300" t="str">
            <v>High</v>
          </cell>
          <cell r="AB3300">
            <v>3</v>
          </cell>
        </row>
        <row r="3301">
          <cell r="B3301" t="str">
            <v>Thirumalai K</v>
          </cell>
          <cell r="I3301" t="str">
            <v>Correct</v>
          </cell>
          <cell r="J3301">
            <v>1.37</v>
          </cell>
          <cell r="K3301" t="str">
            <v>High</v>
          </cell>
          <cell r="AB3301">
            <v>3</v>
          </cell>
        </row>
        <row r="3302">
          <cell r="B3302" t="str">
            <v>Vetrivel S</v>
          </cell>
          <cell r="I3302" t="str">
            <v>Correct</v>
          </cell>
          <cell r="J3302">
            <v>1.17</v>
          </cell>
          <cell r="K3302" t="str">
            <v>Low</v>
          </cell>
          <cell r="AB3302">
            <v>2</v>
          </cell>
        </row>
        <row r="3303">
          <cell r="B3303" t="str">
            <v>Vetrivel S</v>
          </cell>
          <cell r="I3303" t="str">
            <v>Correct</v>
          </cell>
          <cell r="J3303">
            <v>1.59</v>
          </cell>
          <cell r="K3303" t="str">
            <v>Low</v>
          </cell>
          <cell r="AB3303">
            <v>0.94</v>
          </cell>
        </row>
        <row r="3304">
          <cell r="B3304" t="str">
            <v>Vetrivel S</v>
          </cell>
          <cell r="I3304" t="str">
            <v>Wrong</v>
          </cell>
          <cell r="J3304">
            <v>1.81</v>
          </cell>
          <cell r="K3304" t="str">
            <v>Low</v>
          </cell>
          <cell r="AB3304">
            <v>0</v>
          </cell>
        </row>
        <row r="3305">
          <cell r="B3305" t="str">
            <v>Vetrivel S</v>
          </cell>
          <cell r="I3305" t="str">
            <v>Correct</v>
          </cell>
          <cell r="J3305">
            <v>1.17</v>
          </cell>
          <cell r="K3305" t="str">
            <v>Low</v>
          </cell>
          <cell r="AB3305">
            <v>1</v>
          </cell>
        </row>
        <row r="3306">
          <cell r="B3306" t="str">
            <v>Vetrivel S</v>
          </cell>
          <cell r="I3306" t="str">
            <v>Correct</v>
          </cell>
          <cell r="J3306">
            <v>0.94</v>
          </cell>
          <cell r="K3306" t="str">
            <v>Low</v>
          </cell>
          <cell r="AB3306">
            <v>1</v>
          </cell>
        </row>
        <row r="3307">
          <cell r="B3307" t="str">
            <v>Vetrivel S</v>
          </cell>
          <cell r="I3307" t="str">
            <v>Correct</v>
          </cell>
          <cell r="J3307">
            <v>0.95</v>
          </cell>
          <cell r="K3307" t="str">
            <v>Low</v>
          </cell>
          <cell r="AB3307">
            <v>2</v>
          </cell>
        </row>
        <row r="3308">
          <cell r="B3308" t="str">
            <v>Vetrivel S</v>
          </cell>
          <cell r="I3308" t="str">
            <v>Correct</v>
          </cell>
          <cell r="J3308">
            <v>1.37</v>
          </cell>
          <cell r="K3308" t="str">
            <v>Low</v>
          </cell>
          <cell r="AB3308">
            <v>1</v>
          </cell>
        </row>
        <row r="3309">
          <cell r="B3309" t="str">
            <v>Vetrivel S</v>
          </cell>
          <cell r="I3309" t="str">
            <v>Correct</v>
          </cell>
          <cell r="J3309">
            <v>1.1100000000000001</v>
          </cell>
          <cell r="K3309" t="str">
            <v>Low</v>
          </cell>
          <cell r="AB3309">
            <v>2</v>
          </cell>
        </row>
        <row r="3310">
          <cell r="B3310" t="str">
            <v>Vetrivel S</v>
          </cell>
          <cell r="I3310" t="str">
            <v>Correct</v>
          </cell>
          <cell r="J3310">
            <v>1.53</v>
          </cell>
          <cell r="K3310" t="str">
            <v>Low</v>
          </cell>
          <cell r="AB3310">
            <v>1.96</v>
          </cell>
        </row>
        <row r="3311">
          <cell r="B3311" t="str">
            <v>Vetrivel S</v>
          </cell>
          <cell r="I3311" t="str">
            <v>Correct</v>
          </cell>
          <cell r="J3311">
            <v>1.34</v>
          </cell>
          <cell r="K3311" t="str">
            <v>Medium</v>
          </cell>
          <cell r="AB3311">
            <v>2</v>
          </cell>
        </row>
        <row r="3312">
          <cell r="B3312" t="str">
            <v>Vetrivel S</v>
          </cell>
          <cell r="I3312" t="str">
            <v>Correct</v>
          </cell>
          <cell r="J3312">
            <v>2.08</v>
          </cell>
          <cell r="K3312" t="str">
            <v>Medium</v>
          </cell>
          <cell r="AB3312">
            <v>1.73</v>
          </cell>
        </row>
        <row r="3313">
          <cell r="B3313" t="str">
            <v>Vetrivel S</v>
          </cell>
          <cell r="I3313" t="str">
            <v>Wrong</v>
          </cell>
          <cell r="J3313">
            <v>2.19</v>
          </cell>
          <cell r="K3313" t="str">
            <v>Medium</v>
          </cell>
          <cell r="AB3313">
            <v>0</v>
          </cell>
        </row>
        <row r="3314">
          <cell r="B3314" t="str">
            <v>Vetrivel S</v>
          </cell>
          <cell r="I3314" t="str">
            <v>Correct</v>
          </cell>
          <cell r="J3314">
            <v>1.43</v>
          </cell>
          <cell r="K3314" t="str">
            <v>Medium</v>
          </cell>
          <cell r="AB3314">
            <v>2</v>
          </cell>
        </row>
        <row r="3315">
          <cell r="B3315" t="str">
            <v>Vetrivel S</v>
          </cell>
          <cell r="I3315" t="str">
            <v>Correct</v>
          </cell>
          <cell r="J3315">
            <v>1.39</v>
          </cell>
          <cell r="K3315" t="str">
            <v>Medium</v>
          </cell>
          <cell r="AB3315">
            <v>2</v>
          </cell>
        </row>
        <row r="3316">
          <cell r="B3316" t="str">
            <v>Vetrivel S</v>
          </cell>
          <cell r="I3316" t="str">
            <v>Correct</v>
          </cell>
          <cell r="J3316">
            <v>2.21</v>
          </cell>
          <cell r="K3316" t="str">
            <v>Medium</v>
          </cell>
          <cell r="AB3316">
            <v>1.63</v>
          </cell>
        </row>
        <row r="3317">
          <cell r="B3317" t="str">
            <v>Vetrivel S</v>
          </cell>
          <cell r="I3317" t="str">
            <v>Wrong</v>
          </cell>
          <cell r="J3317">
            <v>2.4900000000000002</v>
          </cell>
          <cell r="K3317" t="str">
            <v>High</v>
          </cell>
          <cell r="AB3317">
            <v>0</v>
          </cell>
        </row>
        <row r="3318">
          <cell r="B3318" t="str">
            <v>Vetrivel S</v>
          </cell>
          <cell r="I3318" t="str">
            <v>Wrong</v>
          </cell>
          <cell r="J3318">
            <v>1.92</v>
          </cell>
          <cell r="K3318" t="str">
            <v>High</v>
          </cell>
          <cell r="AB3318">
            <v>0</v>
          </cell>
        </row>
        <row r="3319">
          <cell r="B3319" t="str">
            <v>Vetrivel S</v>
          </cell>
          <cell r="I3319" t="str">
            <v>Wrong</v>
          </cell>
          <cell r="J3319">
            <v>1.32</v>
          </cell>
          <cell r="K3319" t="str">
            <v>High</v>
          </cell>
          <cell r="AB3319">
            <v>0</v>
          </cell>
        </row>
        <row r="3320">
          <cell r="B3320" t="str">
            <v>Vetrivel S</v>
          </cell>
          <cell r="I3320" t="str">
            <v>Wrong</v>
          </cell>
          <cell r="J3320">
            <v>1.88</v>
          </cell>
          <cell r="K3320" t="str">
            <v>High</v>
          </cell>
          <cell r="AB3320">
            <v>0</v>
          </cell>
        </row>
        <row r="3321">
          <cell r="B3321" t="str">
            <v>Vetrivel S</v>
          </cell>
          <cell r="I3321" t="str">
            <v>Correct</v>
          </cell>
          <cell r="J3321">
            <v>2.0099999999999998</v>
          </cell>
          <cell r="K3321" t="str">
            <v>High</v>
          </cell>
          <cell r="AB3321">
            <v>2.99</v>
          </cell>
        </row>
        <row r="3322">
          <cell r="B3322" t="str">
            <v>Yaswanth Raj</v>
          </cell>
          <cell r="I3322" t="str">
            <v>Wrong</v>
          </cell>
          <cell r="J3322">
            <v>1.2</v>
          </cell>
          <cell r="K3322" t="str">
            <v>Low</v>
          </cell>
          <cell r="AB3322">
            <v>0</v>
          </cell>
        </row>
        <row r="3323">
          <cell r="B3323" t="str">
            <v>Yaswanth Raj</v>
          </cell>
          <cell r="I3323" t="str">
            <v>Correct</v>
          </cell>
          <cell r="J3323">
            <v>1.7</v>
          </cell>
          <cell r="K3323" t="str">
            <v>Low</v>
          </cell>
          <cell r="AB3323">
            <v>0.88</v>
          </cell>
        </row>
        <row r="3324">
          <cell r="B3324" t="str">
            <v>Yaswanth Raj</v>
          </cell>
          <cell r="I3324" t="str">
            <v>Correct</v>
          </cell>
          <cell r="J3324">
            <v>0.98</v>
          </cell>
          <cell r="K3324" t="str">
            <v>Low</v>
          </cell>
          <cell r="AB3324">
            <v>2</v>
          </cell>
        </row>
        <row r="3325">
          <cell r="B3325" t="str">
            <v>Yaswanth Raj</v>
          </cell>
          <cell r="I3325" t="str">
            <v>Correct</v>
          </cell>
          <cell r="J3325">
            <v>1.1499999999999999</v>
          </cell>
          <cell r="K3325" t="str">
            <v>Low</v>
          </cell>
          <cell r="AB3325">
            <v>1</v>
          </cell>
        </row>
        <row r="3326">
          <cell r="B3326" t="str">
            <v>Yaswanth Raj</v>
          </cell>
          <cell r="I3326" t="str">
            <v>Correct</v>
          </cell>
          <cell r="J3326">
            <v>1.02</v>
          </cell>
          <cell r="K3326" t="str">
            <v>Low</v>
          </cell>
          <cell r="AB3326">
            <v>1</v>
          </cell>
        </row>
        <row r="3327">
          <cell r="B3327" t="str">
            <v>Yaswanth Raj</v>
          </cell>
          <cell r="I3327" t="str">
            <v>Correct</v>
          </cell>
          <cell r="J3327">
            <v>1.23</v>
          </cell>
          <cell r="K3327" t="str">
            <v>Low</v>
          </cell>
          <cell r="AB3327">
            <v>2</v>
          </cell>
        </row>
        <row r="3328">
          <cell r="B3328" t="str">
            <v>Yaswanth Raj</v>
          </cell>
          <cell r="I3328" t="str">
            <v>Correct</v>
          </cell>
          <cell r="J3328">
            <v>1.02</v>
          </cell>
          <cell r="K3328" t="str">
            <v>Low</v>
          </cell>
          <cell r="AB3328">
            <v>1</v>
          </cell>
        </row>
        <row r="3329">
          <cell r="B3329" t="str">
            <v>Yaswanth Raj</v>
          </cell>
          <cell r="I3329" t="str">
            <v>Correct</v>
          </cell>
          <cell r="J3329">
            <v>0.9</v>
          </cell>
          <cell r="K3329" t="str">
            <v>Low</v>
          </cell>
          <cell r="AB3329">
            <v>2</v>
          </cell>
        </row>
        <row r="3330">
          <cell r="B3330" t="str">
            <v>Yaswanth Raj</v>
          </cell>
          <cell r="I3330" t="str">
            <v>Correct</v>
          </cell>
          <cell r="J3330">
            <v>1.03</v>
          </cell>
          <cell r="K3330" t="str">
            <v>Low</v>
          </cell>
          <cell r="AB3330">
            <v>2</v>
          </cell>
        </row>
        <row r="3331">
          <cell r="B3331" t="str">
            <v>Yaswanth Raj</v>
          </cell>
          <cell r="I3331" t="str">
            <v>Wrong</v>
          </cell>
          <cell r="J3331">
            <v>1.66</v>
          </cell>
          <cell r="K3331" t="str">
            <v>Medium</v>
          </cell>
          <cell r="AB3331">
            <v>0</v>
          </cell>
        </row>
        <row r="3332">
          <cell r="B3332" t="str">
            <v>Yaswanth Raj</v>
          </cell>
          <cell r="I3332" t="str">
            <v>Correct</v>
          </cell>
          <cell r="J3332">
            <v>1.46</v>
          </cell>
          <cell r="K3332" t="str">
            <v>Medium</v>
          </cell>
          <cell r="AB3332">
            <v>2</v>
          </cell>
        </row>
        <row r="3333">
          <cell r="B3333" t="str">
            <v>Yaswanth Raj</v>
          </cell>
          <cell r="I3333" t="str">
            <v>Wrong</v>
          </cell>
          <cell r="J3333">
            <v>2.2799999999999998</v>
          </cell>
          <cell r="K3333" t="str">
            <v>Medium</v>
          </cell>
          <cell r="AB3333">
            <v>0</v>
          </cell>
        </row>
        <row r="3334">
          <cell r="B3334" t="str">
            <v>Yaswanth Raj</v>
          </cell>
          <cell r="I3334" t="str">
            <v>Correct</v>
          </cell>
          <cell r="J3334">
            <v>1.84</v>
          </cell>
          <cell r="K3334" t="str">
            <v>Medium</v>
          </cell>
          <cell r="AB3334">
            <v>1.96</v>
          </cell>
        </row>
        <row r="3335">
          <cell r="B3335" t="str">
            <v>Yaswanth Raj</v>
          </cell>
          <cell r="I3335" t="str">
            <v>Wrong</v>
          </cell>
          <cell r="J3335">
            <v>1.1100000000000001</v>
          </cell>
          <cell r="K3335" t="str">
            <v>Medium</v>
          </cell>
          <cell r="AB3335">
            <v>0</v>
          </cell>
        </row>
        <row r="3336">
          <cell r="B3336" t="str">
            <v>Yaswanth Raj</v>
          </cell>
          <cell r="I3336" t="str">
            <v>Correct</v>
          </cell>
          <cell r="J3336">
            <v>1.6</v>
          </cell>
          <cell r="K3336" t="str">
            <v>Medium</v>
          </cell>
          <cell r="AB3336">
            <v>2</v>
          </cell>
        </row>
        <row r="3337">
          <cell r="B3337" t="str">
            <v>Yaswanth Raj</v>
          </cell>
          <cell r="I3337" t="str">
            <v>Correct</v>
          </cell>
          <cell r="J3337">
            <v>1.55</v>
          </cell>
          <cell r="K3337" t="str">
            <v>High</v>
          </cell>
          <cell r="AB3337">
            <v>3</v>
          </cell>
        </row>
        <row r="3338">
          <cell r="B3338" t="str">
            <v>Yaswanth Raj</v>
          </cell>
          <cell r="I3338" t="str">
            <v>Wrong</v>
          </cell>
          <cell r="J3338">
            <v>1.75</v>
          </cell>
          <cell r="K3338" t="str">
            <v>High</v>
          </cell>
          <cell r="AB3338">
            <v>0</v>
          </cell>
        </row>
        <row r="3339">
          <cell r="B3339" t="str">
            <v>Yaswanth Raj</v>
          </cell>
          <cell r="I3339" t="str">
            <v>Wrong</v>
          </cell>
          <cell r="J3339">
            <v>1.35</v>
          </cell>
          <cell r="K3339" t="str">
            <v>High</v>
          </cell>
          <cell r="AB3339">
            <v>0</v>
          </cell>
        </row>
        <row r="3340">
          <cell r="B3340" t="str">
            <v>Yaswanth Raj</v>
          </cell>
          <cell r="I3340" t="str">
            <v>Correct</v>
          </cell>
          <cell r="J3340">
            <v>1.67</v>
          </cell>
          <cell r="K3340" t="str">
            <v>High</v>
          </cell>
          <cell r="AB3340">
            <v>3</v>
          </cell>
        </row>
        <row r="3341">
          <cell r="B3341" t="str">
            <v>Yaswanth Raj</v>
          </cell>
          <cell r="I3341" t="str">
            <v>Wrong</v>
          </cell>
          <cell r="J3341">
            <v>2.14</v>
          </cell>
          <cell r="K3341" t="str">
            <v>High</v>
          </cell>
          <cell r="AB3341">
            <v>0</v>
          </cell>
        </row>
        <row r="3342">
          <cell r="B3342" t="str">
            <v>Anbarasan M</v>
          </cell>
          <cell r="I3342" t="str">
            <v>Correct</v>
          </cell>
          <cell r="J3342">
            <v>1.07</v>
          </cell>
          <cell r="K3342" t="str">
            <v>Low</v>
          </cell>
          <cell r="AB3342">
            <v>2</v>
          </cell>
        </row>
        <row r="3343">
          <cell r="B3343" t="str">
            <v>Anbarasan M</v>
          </cell>
          <cell r="I3343" t="str">
            <v>Correct</v>
          </cell>
          <cell r="J3343">
            <v>1.72</v>
          </cell>
          <cell r="K3343" t="str">
            <v>Low</v>
          </cell>
          <cell r="AB3343">
            <v>0.87</v>
          </cell>
        </row>
        <row r="3344">
          <cell r="B3344" t="str">
            <v>Anbarasan M</v>
          </cell>
          <cell r="I3344" t="str">
            <v>Correct</v>
          </cell>
          <cell r="J3344">
            <v>1.1200000000000001</v>
          </cell>
          <cell r="K3344" t="str">
            <v>Low</v>
          </cell>
          <cell r="AB3344">
            <v>2</v>
          </cell>
        </row>
        <row r="3345">
          <cell r="B3345" t="str">
            <v>Anbarasan M</v>
          </cell>
          <cell r="I3345" t="str">
            <v>Correct</v>
          </cell>
          <cell r="J3345">
            <v>1.53</v>
          </cell>
          <cell r="K3345" t="str">
            <v>Low</v>
          </cell>
          <cell r="AB3345">
            <v>0.98</v>
          </cell>
        </row>
        <row r="3346">
          <cell r="B3346" t="str">
            <v>Anbarasan M</v>
          </cell>
          <cell r="I3346" t="str">
            <v>Correct</v>
          </cell>
          <cell r="J3346">
            <v>1.98</v>
          </cell>
          <cell r="K3346" t="str">
            <v>Low</v>
          </cell>
          <cell r="AB3346">
            <v>0.76</v>
          </cell>
        </row>
        <row r="3347">
          <cell r="B3347" t="str">
            <v>Anbarasan M</v>
          </cell>
          <cell r="I3347" t="str">
            <v>Correct</v>
          </cell>
          <cell r="J3347">
            <v>1.0900000000000001</v>
          </cell>
          <cell r="K3347" t="str">
            <v>Low</v>
          </cell>
          <cell r="AB3347">
            <v>2</v>
          </cell>
        </row>
        <row r="3348">
          <cell r="B3348" t="str">
            <v>Anbarasan M</v>
          </cell>
          <cell r="I3348" t="str">
            <v>Correct</v>
          </cell>
          <cell r="J3348">
            <v>1</v>
          </cell>
          <cell r="K3348" t="str">
            <v>Low</v>
          </cell>
          <cell r="AB3348">
            <v>1</v>
          </cell>
        </row>
        <row r="3349">
          <cell r="B3349" t="str">
            <v>Anbarasan M</v>
          </cell>
          <cell r="I3349" t="str">
            <v>Wrong</v>
          </cell>
          <cell r="J3349">
            <v>1.03</v>
          </cell>
          <cell r="K3349" t="str">
            <v>Low</v>
          </cell>
          <cell r="AB3349">
            <v>0</v>
          </cell>
        </row>
        <row r="3350">
          <cell r="B3350" t="str">
            <v>Anbarasan M</v>
          </cell>
          <cell r="I3350" t="str">
            <v>Correct</v>
          </cell>
          <cell r="J3350">
            <v>1.41</v>
          </cell>
          <cell r="K3350" t="str">
            <v>Low</v>
          </cell>
          <cell r="AB3350">
            <v>2</v>
          </cell>
        </row>
        <row r="3351">
          <cell r="B3351" t="str">
            <v>Anbarasan M</v>
          </cell>
          <cell r="I3351" t="str">
            <v>Wrong</v>
          </cell>
          <cell r="J3351">
            <v>2.19</v>
          </cell>
          <cell r="K3351" t="str">
            <v>Medium</v>
          </cell>
          <cell r="AB3351">
            <v>0</v>
          </cell>
        </row>
        <row r="3352">
          <cell r="B3352" t="str">
            <v>Anbarasan M</v>
          </cell>
          <cell r="I3352" t="str">
            <v>Wrong</v>
          </cell>
          <cell r="J3352">
            <v>1.58</v>
          </cell>
          <cell r="K3352" t="str">
            <v>Medium</v>
          </cell>
          <cell r="AB3352">
            <v>0</v>
          </cell>
        </row>
        <row r="3353">
          <cell r="B3353" t="str">
            <v>Anbarasan M</v>
          </cell>
          <cell r="I3353" t="str">
            <v>Wrong</v>
          </cell>
          <cell r="J3353">
            <v>2.15</v>
          </cell>
          <cell r="K3353" t="str">
            <v>Medium</v>
          </cell>
          <cell r="AB3353">
            <v>0</v>
          </cell>
        </row>
        <row r="3354">
          <cell r="B3354" t="str">
            <v>Anbarasan M</v>
          </cell>
          <cell r="I3354" t="str">
            <v>Wrong</v>
          </cell>
          <cell r="J3354">
            <v>1.91</v>
          </cell>
          <cell r="K3354" t="str">
            <v>Medium</v>
          </cell>
          <cell r="AB3354">
            <v>0</v>
          </cell>
        </row>
        <row r="3355">
          <cell r="B3355" t="str">
            <v>Anbarasan M</v>
          </cell>
          <cell r="I3355" t="str">
            <v>Wrong</v>
          </cell>
          <cell r="J3355">
            <v>1.17</v>
          </cell>
          <cell r="K3355" t="str">
            <v>Medium</v>
          </cell>
          <cell r="AB3355">
            <v>0</v>
          </cell>
        </row>
        <row r="3356">
          <cell r="B3356" t="str">
            <v>Anbarasan M</v>
          </cell>
          <cell r="I3356" t="str">
            <v>Correct</v>
          </cell>
          <cell r="J3356">
            <v>1.24</v>
          </cell>
          <cell r="K3356" t="str">
            <v>Medium</v>
          </cell>
          <cell r="AB3356">
            <v>2</v>
          </cell>
        </row>
        <row r="3357">
          <cell r="B3357" t="str">
            <v>Anbarasan M</v>
          </cell>
          <cell r="I3357" t="str">
            <v>Wrong</v>
          </cell>
          <cell r="J3357">
            <v>2.09</v>
          </cell>
          <cell r="K3357" t="str">
            <v>High</v>
          </cell>
          <cell r="AB3357">
            <v>0</v>
          </cell>
        </row>
        <row r="3358">
          <cell r="B3358" t="str">
            <v>Anbarasan M</v>
          </cell>
          <cell r="I3358" t="str">
            <v>Correct</v>
          </cell>
          <cell r="J3358">
            <v>2.59</v>
          </cell>
          <cell r="K3358" t="str">
            <v>High</v>
          </cell>
          <cell r="AB3358">
            <v>2.3199999999999998</v>
          </cell>
        </row>
        <row r="3359">
          <cell r="B3359" t="str">
            <v>Anbarasan M</v>
          </cell>
          <cell r="I3359" t="str">
            <v>Wrong</v>
          </cell>
          <cell r="J3359">
            <v>1.92</v>
          </cell>
          <cell r="K3359" t="str">
            <v>High</v>
          </cell>
          <cell r="AB3359">
            <v>0</v>
          </cell>
        </row>
        <row r="3360">
          <cell r="B3360" t="str">
            <v>Anbarasan M</v>
          </cell>
          <cell r="I3360" t="str">
            <v>Wrong</v>
          </cell>
          <cell r="J3360">
            <v>2.4700000000000002</v>
          </cell>
          <cell r="K3360" t="str">
            <v>High</v>
          </cell>
          <cell r="AB3360">
            <v>0</v>
          </cell>
        </row>
        <row r="3361">
          <cell r="B3361" t="str">
            <v>Anbarasan M</v>
          </cell>
          <cell r="I3361" t="str">
            <v>Correct</v>
          </cell>
          <cell r="J3361">
            <v>1.97</v>
          </cell>
          <cell r="K3361" t="str">
            <v>High</v>
          </cell>
          <cell r="AB3361">
            <v>3</v>
          </cell>
        </row>
        <row r="3362">
          <cell r="B3362" t="str">
            <v>Balamurali K</v>
          </cell>
          <cell r="I3362" t="str">
            <v>Correct</v>
          </cell>
          <cell r="J3362">
            <v>1.22</v>
          </cell>
          <cell r="K3362" t="str">
            <v>Low</v>
          </cell>
          <cell r="AB3362">
            <v>2</v>
          </cell>
        </row>
        <row r="3363">
          <cell r="B3363" t="str">
            <v>Balamurali K</v>
          </cell>
          <cell r="I3363" t="str">
            <v>Correct</v>
          </cell>
          <cell r="J3363">
            <v>1.01</v>
          </cell>
          <cell r="K3363" t="str">
            <v>Low</v>
          </cell>
          <cell r="AB3363">
            <v>1</v>
          </cell>
        </row>
        <row r="3364">
          <cell r="B3364" t="str">
            <v>Balamurali K</v>
          </cell>
          <cell r="I3364" t="str">
            <v>Wrong</v>
          </cell>
          <cell r="J3364">
            <v>1.55</v>
          </cell>
          <cell r="K3364" t="str">
            <v>Low</v>
          </cell>
          <cell r="AB3364">
            <v>0</v>
          </cell>
        </row>
        <row r="3365">
          <cell r="B3365" t="str">
            <v>Balamurali K</v>
          </cell>
          <cell r="I3365" t="str">
            <v>Correct</v>
          </cell>
          <cell r="J3365">
            <v>1.18</v>
          </cell>
          <cell r="K3365" t="str">
            <v>Low</v>
          </cell>
          <cell r="AB3365">
            <v>1</v>
          </cell>
        </row>
        <row r="3366">
          <cell r="B3366" t="str">
            <v>Balamurali K</v>
          </cell>
          <cell r="I3366" t="str">
            <v>Correct</v>
          </cell>
          <cell r="J3366">
            <v>1.01</v>
          </cell>
          <cell r="K3366" t="str">
            <v>Low</v>
          </cell>
          <cell r="AB3366">
            <v>1</v>
          </cell>
        </row>
        <row r="3367">
          <cell r="B3367" t="str">
            <v>Balamurali K</v>
          </cell>
          <cell r="I3367" t="str">
            <v>Correct</v>
          </cell>
          <cell r="J3367">
            <v>1.56</v>
          </cell>
          <cell r="K3367" t="str">
            <v>Low</v>
          </cell>
          <cell r="AB3367">
            <v>1.92</v>
          </cell>
        </row>
        <row r="3368">
          <cell r="B3368" t="str">
            <v>Balamurali K</v>
          </cell>
          <cell r="I3368" t="str">
            <v>Correct</v>
          </cell>
          <cell r="J3368">
            <v>1.26</v>
          </cell>
          <cell r="K3368" t="str">
            <v>Low</v>
          </cell>
          <cell r="AB3368">
            <v>1</v>
          </cell>
        </row>
        <row r="3369">
          <cell r="B3369" t="str">
            <v>Balamurali K</v>
          </cell>
          <cell r="I3369" t="str">
            <v>Correct</v>
          </cell>
          <cell r="J3369">
            <v>1.48</v>
          </cell>
          <cell r="K3369" t="str">
            <v>Low</v>
          </cell>
          <cell r="AB3369">
            <v>2</v>
          </cell>
        </row>
        <row r="3370">
          <cell r="B3370" t="str">
            <v>Balamurali K</v>
          </cell>
          <cell r="I3370" t="str">
            <v>Correct</v>
          </cell>
          <cell r="J3370">
            <v>1.8</v>
          </cell>
          <cell r="K3370" t="str">
            <v>Low</v>
          </cell>
          <cell r="AB3370">
            <v>1.67</v>
          </cell>
        </row>
        <row r="3371">
          <cell r="B3371" t="str">
            <v>Balamurali K</v>
          </cell>
          <cell r="I3371" t="str">
            <v>Correct</v>
          </cell>
          <cell r="J3371">
            <v>1.96</v>
          </cell>
          <cell r="K3371" t="str">
            <v>Medium</v>
          </cell>
          <cell r="AB3371">
            <v>1.84</v>
          </cell>
        </row>
        <row r="3372">
          <cell r="B3372" t="str">
            <v>Balamurali K</v>
          </cell>
          <cell r="I3372" t="str">
            <v>Wrong</v>
          </cell>
          <cell r="J3372">
            <v>1.88</v>
          </cell>
          <cell r="K3372" t="str">
            <v>Medium</v>
          </cell>
          <cell r="AB3372">
            <v>0</v>
          </cell>
        </row>
        <row r="3373">
          <cell r="B3373" t="str">
            <v>Balamurali K</v>
          </cell>
          <cell r="I3373" t="str">
            <v>Wrong</v>
          </cell>
          <cell r="J3373">
            <v>1.58</v>
          </cell>
          <cell r="K3373" t="str">
            <v>Medium</v>
          </cell>
          <cell r="AB3373">
            <v>0</v>
          </cell>
        </row>
        <row r="3374">
          <cell r="B3374" t="str">
            <v>Balamurali K</v>
          </cell>
          <cell r="I3374" t="str">
            <v>Wrong</v>
          </cell>
          <cell r="J3374">
            <v>1.45</v>
          </cell>
          <cell r="K3374" t="str">
            <v>Medium</v>
          </cell>
          <cell r="AB3374">
            <v>0</v>
          </cell>
        </row>
        <row r="3375">
          <cell r="B3375" t="str">
            <v>Balamurali K</v>
          </cell>
          <cell r="I3375" t="str">
            <v>Correct</v>
          </cell>
          <cell r="J3375">
            <v>1.32</v>
          </cell>
          <cell r="K3375" t="str">
            <v>Medium</v>
          </cell>
          <cell r="AB3375">
            <v>2</v>
          </cell>
        </row>
        <row r="3376">
          <cell r="B3376" t="str">
            <v>Balamurali K</v>
          </cell>
          <cell r="I3376" t="str">
            <v>Correct</v>
          </cell>
          <cell r="J3376">
            <v>2.0499999999999998</v>
          </cell>
          <cell r="K3376" t="str">
            <v>Medium</v>
          </cell>
          <cell r="AB3376">
            <v>1.76</v>
          </cell>
        </row>
        <row r="3377">
          <cell r="B3377" t="str">
            <v>Balamurali K</v>
          </cell>
          <cell r="I3377" t="str">
            <v>Correct</v>
          </cell>
          <cell r="J3377">
            <v>1.49</v>
          </cell>
          <cell r="K3377" t="str">
            <v>High</v>
          </cell>
          <cell r="AB3377">
            <v>3</v>
          </cell>
        </row>
        <row r="3378">
          <cell r="B3378" t="str">
            <v>Balamurali K</v>
          </cell>
          <cell r="I3378" t="str">
            <v>Wrong</v>
          </cell>
          <cell r="J3378">
            <v>2.5</v>
          </cell>
          <cell r="K3378" t="str">
            <v>High</v>
          </cell>
          <cell r="AB3378">
            <v>0</v>
          </cell>
        </row>
        <row r="3379">
          <cell r="B3379" t="str">
            <v>Balamurali K</v>
          </cell>
          <cell r="I3379" t="str">
            <v>Wrong</v>
          </cell>
          <cell r="J3379">
            <v>1.3</v>
          </cell>
          <cell r="K3379" t="str">
            <v>High</v>
          </cell>
          <cell r="AB3379">
            <v>0</v>
          </cell>
        </row>
        <row r="3380">
          <cell r="B3380" t="str">
            <v>Balamurali K</v>
          </cell>
          <cell r="I3380" t="str">
            <v>Wrong</v>
          </cell>
          <cell r="J3380">
            <v>1.77</v>
          </cell>
          <cell r="K3380" t="str">
            <v>High</v>
          </cell>
          <cell r="AB3380">
            <v>0</v>
          </cell>
        </row>
        <row r="3381">
          <cell r="B3381" t="str">
            <v>Balamurali K</v>
          </cell>
          <cell r="I3381" t="str">
            <v>Wrong</v>
          </cell>
          <cell r="J3381">
            <v>1.92</v>
          </cell>
          <cell r="K3381" t="str">
            <v>High</v>
          </cell>
          <cell r="AB3381">
            <v>0</v>
          </cell>
        </row>
        <row r="3382">
          <cell r="B3382" t="str">
            <v>Dilip Kumar</v>
          </cell>
          <cell r="I3382" t="str">
            <v>Correct</v>
          </cell>
          <cell r="J3382">
            <v>1.7</v>
          </cell>
          <cell r="K3382" t="str">
            <v>Low</v>
          </cell>
          <cell r="AB3382">
            <v>1.76</v>
          </cell>
        </row>
        <row r="3383">
          <cell r="B3383" t="str">
            <v>Dilip Kumar</v>
          </cell>
          <cell r="I3383" t="str">
            <v>Correct</v>
          </cell>
          <cell r="J3383">
            <v>1.33</v>
          </cell>
          <cell r="K3383" t="str">
            <v>Low</v>
          </cell>
          <cell r="AB3383">
            <v>1</v>
          </cell>
        </row>
        <row r="3384">
          <cell r="B3384" t="str">
            <v>Dilip Kumar</v>
          </cell>
          <cell r="I3384" t="str">
            <v>Correct</v>
          </cell>
          <cell r="J3384">
            <v>1.1599999999999999</v>
          </cell>
          <cell r="K3384" t="str">
            <v>Low</v>
          </cell>
          <cell r="AB3384">
            <v>2</v>
          </cell>
        </row>
        <row r="3385">
          <cell r="B3385" t="str">
            <v>Dilip Kumar</v>
          </cell>
          <cell r="I3385" t="str">
            <v>Correct</v>
          </cell>
          <cell r="J3385">
            <v>1.39</v>
          </cell>
          <cell r="K3385" t="str">
            <v>Low</v>
          </cell>
          <cell r="AB3385">
            <v>1</v>
          </cell>
        </row>
        <row r="3386">
          <cell r="B3386" t="str">
            <v>Dilip Kumar</v>
          </cell>
          <cell r="I3386" t="str">
            <v>Correct</v>
          </cell>
          <cell r="J3386">
            <v>1.41</v>
          </cell>
          <cell r="K3386" t="str">
            <v>Low</v>
          </cell>
          <cell r="AB3386">
            <v>1</v>
          </cell>
        </row>
        <row r="3387">
          <cell r="B3387" t="str">
            <v>Dilip Kumar</v>
          </cell>
          <cell r="I3387" t="str">
            <v>Correct</v>
          </cell>
          <cell r="J3387">
            <v>1.01</v>
          </cell>
          <cell r="K3387" t="str">
            <v>Low</v>
          </cell>
          <cell r="AB3387">
            <v>2</v>
          </cell>
        </row>
        <row r="3388">
          <cell r="B3388" t="str">
            <v>Dilip Kumar</v>
          </cell>
          <cell r="I3388" t="str">
            <v>Wrong</v>
          </cell>
          <cell r="J3388">
            <v>1.0900000000000001</v>
          </cell>
          <cell r="K3388" t="str">
            <v>Low</v>
          </cell>
          <cell r="AB3388">
            <v>0</v>
          </cell>
        </row>
        <row r="3389">
          <cell r="B3389" t="str">
            <v>Dilip Kumar</v>
          </cell>
          <cell r="I3389" t="str">
            <v>Correct</v>
          </cell>
          <cell r="J3389">
            <v>1.23</v>
          </cell>
          <cell r="K3389" t="str">
            <v>Low</v>
          </cell>
          <cell r="AB3389">
            <v>2</v>
          </cell>
        </row>
        <row r="3390">
          <cell r="B3390" t="str">
            <v>Dilip Kumar</v>
          </cell>
          <cell r="I3390" t="str">
            <v>Correct</v>
          </cell>
          <cell r="J3390">
            <v>1.07</v>
          </cell>
          <cell r="K3390" t="str">
            <v>Low</v>
          </cell>
          <cell r="AB3390">
            <v>2</v>
          </cell>
        </row>
        <row r="3391">
          <cell r="B3391" t="str">
            <v>Dilip Kumar</v>
          </cell>
          <cell r="I3391" t="str">
            <v>Correct</v>
          </cell>
          <cell r="J3391">
            <v>2.17</v>
          </cell>
          <cell r="K3391" t="str">
            <v>Medium</v>
          </cell>
          <cell r="AB3391">
            <v>1.66</v>
          </cell>
        </row>
        <row r="3392">
          <cell r="B3392" t="str">
            <v>Dilip Kumar</v>
          </cell>
          <cell r="I3392" t="str">
            <v>Wrong</v>
          </cell>
          <cell r="J3392">
            <v>2.06</v>
          </cell>
          <cell r="K3392" t="str">
            <v>Medium</v>
          </cell>
          <cell r="AB3392">
            <v>0</v>
          </cell>
        </row>
        <row r="3393">
          <cell r="B3393" t="str">
            <v>Dilip Kumar</v>
          </cell>
          <cell r="I3393" t="str">
            <v>Correct</v>
          </cell>
          <cell r="J3393">
            <v>1.63</v>
          </cell>
          <cell r="K3393" t="str">
            <v>Medium</v>
          </cell>
          <cell r="AB3393">
            <v>2</v>
          </cell>
        </row>
        <row r="3394">
          <cell r="B3394" t="str">
            <v>Dilip Kumar</v>
          </cell>
          <cell r="I3394" t="str">
            <v>Correct</v>
          </cell>
          <cell r="J3394">
            <v>1.58</v>
          </cell>
          <cell r="K3394" t="str">
            <v>Medium</v>
          </cell>
          <cell r="AB3394">
            <v>2</v>
          </cell>
        </row>
        <row r="3395">
          <cell r="B3395" t="str">
            <v>Dilip Kumar</v>
          </cell>
          <cell r="I3395" t="str">
            <v>Wrong</v>
          </cell>
          <cell r="J3395">
            <v>1.71</v>
          </cell>
          <cell r="K3395" t="str">
            <v>Medium</v>
          </cell>
          <cell r="AB3395">
            <v>0</v>
          </cell>
        </row>
        <row r="3396">
          <cell r="B3396" t="str">
            <v>Dilip Kumar</v>
          </cell>
          <cell r="I3396" t="str">
            <v>Correct</v>
          </cell>
          <cell r="J3396">
            <v>1.34</v>
          </cell>
          <cell r="K3396" t="str">
            <v>Medium</v>
          </cell>
          <cell r="AB3396">
            <v>2</v>
          </cell>
        </row>
        <row r="3397">
          <cell r="B3397" t="str">
            <v>Dilip Kumar</v>
          </cell>
          <cell r="I3397" t="str">
            <v>Wrong</v>
          </cell>
          <cell r="J3397">
            <v>1.69</v>
          </cell>
          <cell r="K3397" t="str">
            <v>High</v>
          </cell>
          <cell r="AB3397">
            <v>0</v>
          </cell>
        </row>
        <row r="3398">
          <cell r="B3398" t="str">
            <v>Dilip Kumar</v>
          </cell>
          <cell r="I3398" t="str">
            <v>Correct</v>
          </cell>
          <cell r="J3398">
            <v>2.1800000000000002</v>
          </cell>
          <cell r="K3398" t="str">
            <v>High</v>
          </cell>
          <cell r="AB3398">
            <v>2.75</v>
          </cell>
        </row>
        <row r="3399">
          <cell r="B3399" t="str">
            <v>Dilip Kumar</v>
          </cell>
          <cell r="I3399" t="str">
            <v>Wrong</v>
          </cell>
          <cell r="J3399">
            <v>1.64</v>
          </cell>
          <cell r="K3399" t="str">
            <v>High</v>
          </cell>
          <cell r="AB3399">
            <v>0</v>
          </cell>
        </row>
        <row r="3400">
          <cell r="B3400" t="str">
            <v>Dilip Kumar</v>
          </cell>
          <cell r="I3400" t="str">
            <v>Correct</v>
          </cell>
          <cell r="J3400">
            <v>2.34</v>
          </cell>
          <cell r="K3400" t="str">
            <v>High</v>
          </cell>
          <cell r="AB3400">
            <v>2.57</v>
          </cell>
        </row>
        <row r="3401">
          <cell r="B3401" t="str">
            <v>Dilip Kumar</v>
          </cell>
          <cell r="I3401" t="str">
            <v>Wrong</v>
          </cell>
          <cell r="J3401">
            <v>1.98</v>
          </cell>
          <cell r="K3401" t="str">
            <v>High</v>
          </cell>
          <cell r="AB3401">
            <v>0</v>
          </cell>
        </row>
        <row r="3402">
          <cell r="B3402" t="str">
            <v>Gowri Shankar</v>
          </cell>
          <cell r="I3402" t="str">
            <v>Correct</v>
          </cell>
          <cell r="J3402">
            <v>1.22</v>
          </cell>
          <cell r="K3402" t="str">
            <v>Low</v>
          </cell>
          <cell r="AB3402">
            <v>2</v>
          </cell>
        </row>
        <row r="3403">
          <cell r="B3403" t="str">
            <v>Gowri Shankar</v>
          </cell>
          <cell r="I3403" t="str">
            <v>Correct</v>
          </cell>
          <cell r="J3403">
            <v>1.52</v>
          </cell>
          <cell r="K3403" t="str">
            <v>Low</v>
          </cell>
          <cell r="AB3403">
            <v>0.99</v>
          </cell>
        </row>
        <row r="3404">
          <cell r="B3404" t="str">
            <v>Gowri Shankar</v>
          </cell>
          <cell r="I3404" t="str">
            <v>Correct</v>
          </cell>
          <cell r="J3404">
            <v>1.97</v>
          </cell>
          <cell r="K3404" t="str">
            <v>Low</v>
          </cell>
          <cell r="AB3404">
            <v>1.52</v>
          </cell>
        </row>
        <row r="3405">
          <cell r="B3405" t="str">
            <v>Gowri Shankar</v>
          </cell>
          <cell r="I3405" t="str">
            <v>Wrong</v>
          </cell>
          <cell r="J3405">
            <v>0.93</v>
          </cell>
          <cell r="K3405" t="str">
            <v>Low</v>
          </cell>
          <cell r="AB3405">
            <v>0</v>
          </cell>
        </row>
        <row r="3406">
          <cell r="B3406" t="str">
            <v>Gowri Shankar</v>
          </cell>
          <cell r="I3406" t="str">
            <v>Correct</v>
          </cell>
          <cell r="J3406">
            <v>1.06</v>
          </cell>
          <cell r="K3406" t="str">
            <v>Low</v>
          </cell>
          <cell r="AB3406">
            <v>1</v>
          </cell>
        </row>
        <row r="3407">
          <cell r="B3407" t="str">
            <v>Gowri Shankar</v>
          </cell>
          <cell r="I3407" t="str">
            <v>Wrong</v>
          </cell>
          <cell r="J3407">
            <v>1</v>
          </cell>
          <cell r="K3407" t="str">
            <v>Low</v>
          </cell>
          <cell r="AB3407">
            <v>0</v>
          </cell>
        </row>
        <row r="3408">
          <cell r="B3408" t="str">
            <v>Gowri Shankar</v>
          </cell>
          <cell r="I3408" t="str">
            <v>Correct</v>
          </cell>
          <cell r="J3408">
            <v>1.47</v>
          </cell>
          <cell r="K3408" t="str">
            <v>Low</v>
          </cell>
          <cell r="AB3408">
            <v>1</v>
          </cell>
        </row>
        <row r="3409">
          <cell r="B3409" t="str">
            <v>Gowri Shankar</v>
          </cell>
          <cell r="I3409" t="str">
            <v>Wrong</v>
          </cell>
          <cell r="J3409">
            <v>1.27</v>
          </cell>
          <cell r="K3409" t="str">
            <v>Low</v>
          </cell>
          <cell r="AB3409">
            <v>0</v>
          </cell>
        </row>
        <row r="3410">
          <cell r="B3410" t="str">
            <v>Gowri Shankar</v>
          </cell>
          <cell r="I3410" t="str">
            <v>Correct</v>
          </cell>
          <cell r="J3410">
            <v>1.66</v>
          </cell>
          <cell r="K3410" t="str">
            <v>Low</v>
          </cell>
          <cell r="AB3410">
            <v>1.81</v>
          </cell>
        </row>
        <row r="3411">
          <cell r="B3411" t="str">
            <v>Gowri Shankar</v>
          </cell>
          <cell r="I3411" t="str">
            <v>Correct</v>
          </cell>
          <cell r="J3411">
            <v>1.95</v>
          </cell>
          <cell r="K3411" t="str">
            <v>Medium</v>
          </cell>
          <cell r="AB3411">
            <v>1.85</v>
          </cell>
        </row>
        <row r="3412">
          <cell r="B3412" t="str">
            <v>Gowri Shankar</v>
          </cell>
          <cell r="I3412" t="str">
            <v>Correct</v>
          </cell>
          <cell r="J3412">
            <v>1.92</v>
          </cell>
          <cell r="K3412" t="str">
            <v>Medium</v>
          </cell>
          <cell r="AB3412">
            <v>1.88</v>
          </cell>
        </row>
        <row r="3413">
          <cell r="B3413" t="str">
            <v>Gowri Shankar</v>
          </cell>
          <cell r="I3413" t="str">
            <v>Correct</v>
          </cell>
          <cell r="J3413">
            <v>1.3</v>
          </cell>
          <cell r="K3413" t="str">
            <v>Medium</v>
          </cell>
          <cell r="AB3413">
            <v>2</v>
          </cell>
        </row>
        <row r="3414">
          <cell r="B3414" t="str">
            <v>Gowri Shankar</v>
          </cell>
          <cell r="I3414" t="str">
            <v>Wrong</v>
          </cell>
          <cell r="J3414">
            <v>1.96</v>
          </cell>
          <cell r="K3414" t="str">
            <v>Medium</v>
          </cell>
          <cell r="AB3414">
            <v>0</v>
          </cell>
        </row>
        <row r="3415">
          <cell r="B3415" t="str">
            <v>Gowri Shankar</v>
          </cell>
          <cell r="I3415" t="str">
            <v>Correct</v>
          </cell>
          <cell r="J3415">
            <v>1.27</v>
          </cell>
          <cell r="K3415" t="str">
            <v>Medium</v>
          </cell>
          <cell r="AB3415">
            <v>2</v>
          </cell>
        </row>
        <row r="3416">
          <cell r="B3416" t="str">
            <v>Gowri Shankar</v>
          </cell>
          <cell r="I3416" t="str">
            <v>Correct</v>
          </cell>
          <cell r="J3416">
            <v>1.8</v>
          </cell>
          <cell r="K3416" t="str">
            <v>Medium</v>
          </cell>
          <cell r="AB3416">
            <v>2</v>
          </cell>
        </row>
        <row r="3417">
          <cell r="B3417" t="str">
            <v>Gowri Shankar</v>
          </cell>
          <cell r="I3417" t="str">
            <v>Correct</v>
          </cell>
          <cell r="J3417">
            <v>1.66</v>
          </cell>
          <cell r="K3417" t="str">
            <v>High</v>
          </cell>
          <cell r="AB3417">
            <v>3</v>
          </cell>
        </row>
        <row r="3418">
          <cell r="B3418" t="str">
            <v>Gowri Shankar</v>
          </cell>
          <cell r="I3418" t="str">
            <v>Wrong</v>
          </cell>
          <cell r="J3418">
            <v>2.41</v>
          </cell>
          <cell r="K3418" t="str">
            <v>High</v>
          </cell>
          <cell r="AB3418">
            <v>0</v>
          </cell>
        </row>
        <row r="3419">
          <cell r="B3419" t="str">
            <v>Gowri Shankar</v>
          </cell>
          <cell r="I3419" t="str">
            <v>Wrong</v>
          </cell>
          <cell r="J3419">
            <v>1.25</v>
          </cell>
          <cell r="K3419" t="str">
            <v>High</v>
          </cell>
          <cell r="AB3419">
            <v>0</v>
          </cell>
        </row>
        <row r="3420">
          <cell r="B3420" t="str">
            <v>Gowri Shankar</v>
          </cell>
          <cell r="I3420" t="str">
            <v>Wrong</v>
          </cell>
          <cell r="J3420">
            <v>1.48</v>
          </cell>
          <cell r="K3420" t="str">
            <v>High</v>
          </cell>
          <cell r="AB3420">
            <v>0</v>
          </cell>
        </row>
        <row r="3421">
          <cell r="B3421" t="str">
            <v>Gowri Shankar</v>
          </cell>
          <cell r="I3421" t="str">
            <v>Wrong</v>
          </cell>
          <cell r="J3421">
            <v>1.29</v>
          </cell>
          <cell r="K3421" t="str">
            <v>High</v>
          </cell>
          <cell r="AB3421">
            <v>0</v>
          </cell>
        </row>
        <row r="3422">
          <cell r="B3422" t="str">
            <v>Kumaran S</v>
          </cell>
          <cell r="I3422" t="str">
            <v>Wrong</v>
          </cell>
          <cell r="J3422">
            <v>1.94</v>
          </cell>
          <cell r="K3422" t="str">
            <v>Low</v>
          </cell>
          <cell r="AB3422">
            <v>0</v>
          </cell>
        </row>
        <row r="3423">
          <cell r="B3423" t="str">
            <v>Kumaran S</v>
          </cell>
          <cell r="I3423" t="str">
            <v>Wrong</v>
          </cell>
          <cell r="J3423">
            <v>1.79</v>
          </cell>
          <cell r="K3423" t="str">
            <v>Low</v>
          </cell>
          <cell r="AB3423">
            <v>0</v>
          </cell>
        </row>
        <row r="3424">
          <cell r="B3424" t="str">
            <v>Kumaran S</v>
          </cell>
          <cell r="I3424" t="str">
            <v>Wrong</v>
          </cell>
          <cell r="J3424">
            <v>1.94</v>
          </cell>
          <cell r="K3424" t="str">
            <v>Low</v>
          </cell>
          <cell r="AB3424">
            <v>0</v>
          </cell>
        </row>
        <row r="3425">
          <cell r="B3425" t="str">
            <v>Kumaran S</v>
          </cell>
          <cell r="I3425" t="str">
            <v>Correct</v>
          </cell>
          <cell r="J3425">
            <v>1.23</v>
          </cell>
          <cell r="K3425" t="str">
            <v>Low</v>
          </cell>
          <cell r="AB3425">
            <v>1</v>
          </cell>
        </row>
        <row r="3426">
          <cell r="B3426" t="str">
            <v>Kumaran S</v>
          </cell>
          <cell r="I3426" t="str">
            <v>Correct</v>
          </cell>
          <cell r="J3426">
            <v>1.0900000000000001</v>
          </cell>
          <cell r="K3426" t="str">
            <v>Low</v>
          </cell>
          <cell r="AB3426">
            <v>1</v>
          </cell>
        </row>
        <row r="3427">
          <cell r="B3427" t="str">
            <v>Kumaran S</v>
          </cell>
          <cell r="I3427" t="str">
            <v>Wrong</v>
          </cell>
          <cell r="J3427">
            <v>1.53</v>
          </cell>
          <cell r="K3427" t="str">
            <v>Low</v>
          </cell>
          <cell r="AB3427">
            <v>0</v>
          </cell>
        </row>
        <row r="3428">
          <cell r="B3428" t="str">
            <v>Kumaran S</v>
          </cell>
          <cell r="I3428" t="str">
            <v>Wrong</v>
          </cell>
          <cell r="J3428">
            <v>1.19</v>
          </cell>
          <cell r="K3428" t="str">
            <v>Low</v>
          </cell>
          <cell r="AB3428">
            <v>0</v>
          </cell>
        </row>
        <row r="3429">
          <cell r="B3429" t="str">
            <v>Kumaran S</v>
          </cell>
          <cell r="I3429" t="str">
            <v>Correct</v>
          </cell>
          <cell r="J3429">
            <v>0.98</v>
          </cell>
          <cell r="K3429" t="str">
            <v>Low</v>
          </cell>
          <cell r="AB3429">
            <v>2</v>
          </cell>
        </row>
        <row r="3430">
          <cell r="B3430" t="str">
            <v>Kumaran S</v>
          </cell>
          <cell r="I3430" t="str">
            <v>Correct</v>
          </cell>
          <cell r="J3430">
            <v>1.41</v>
          </cell>
          <cell r="K3430" t="str">
            <v>Low</v>
          </cell>
          <cell r="AB3430">
            <v>2</v>
          </cell>
        </row>
        <row r="3431">
          <cell r="B3431" t="str">
            <v>Kumaran S</v>
          </cell>
          <cell r="I3431" t="str">
            <v>Wrong</v>
          </cell>
          <cell r="J3431">
            <v>1.1599999999999999</v>
          </cell>
          <cell r="K3431" t="str">
            <v>Medium</v>
          </cell>
          <cell r="AB3431">
            <v>0</v>
          </cell>
        </row>
        <row r="3432">
          <cell r="B3432" t="str">
            <v>Kumaran S</v>
          </cell>
          <cell r="I3432" t="str">
            <v>Correct</v>
          </cell>
          <cell r="J3432">
            <v>1.59</v>
          </cell>
          <cell r="K3432" t="str">
            <v>Medium</v>
          </cell>
          <cell r="AB3432">
            <v>2</v>
          </cell>
        </row>
        <row r="3433">
          <cell r="B3433" t="str">
            <v>Kumaran S</v>
          </cell>
          <cell r="I3433" t="str">
            <v>Wrong</v>
          </cell>
          <cell r="J3433">
            <v>1.99</v>
          </cell>
          <cell r="K3433" t="str">
            <v>Medium</v>
          </cell>
          <cell r="AB3433">
            <v>0</v>
          </cell>
        </row>
        <row r="3434">
          <cell r="B3434" t="str">
            <v>Kumaran S</v>
          </cell>
          <cell r="I3434" t="str">
            <v>Wrong</v>
          </cell>
          <cell r="J3434">
            <v>1.23</v>
          </cell>
          <cell r="K3434" t="str">
            <v>Medium</v>
          </cell>
          <cell r="AB3434">
            <v>0</v>
          </cell>
        </row>
        <row r="3435">
          <cell r="B3435" t="str">
            <v>Kumaran S</v>
          </cell>
          <cell r="I3435" t="str">
            <v>Correct</v>
          </cell>
          <cell r="J3435">
            <v>1.5</v>
          </cell>
          <cell r="K3435" t="str">
            <v>Medium</v>
          </cell>
          <cell r="AB3435">
            <v>2</v>
          </cell>
        </row>
        <row r="3436">
          <cell r="B3436" t="str">
            <v>Kumaran S</v>
          </cell>
          <cell r="I3436" t="str">
            <v>Correct</v>
          </cell>
          <cell r="J3436">
            <v>1.99</v>
          </cell>
          <cell r="K3436" t="str">
            <v>Medium</v>
          </cell>
          <cell r="AB3436">
            <v>1.81</v>
          </cell>
        </row>
        <row r="3437">
          <cell r="B3437" t="str">
            <v>Kumaran S</v>
          </cell>
          <cell r="I3437" t="str">
            <v>Wrong</v>
          </cell>
          <cell r="J3437">
            <v>1.46</v>
          </cell>
          <cell r="K3437" t="str">
            <v>High</v>
          </cell>
          <cell r="AB3437">
            <v>0</v>
          </cell>
        </row>
        <row r="3438">
          <cell r="B3438" t="str">
            <v>Kumaran S</v>
          </cell>
          <cell r="I3438" t="str">
            <v>Wrong</v>
          </cell>
          <cell r="J3438">
            <v>2.33</v>
          </cell>
          <cell r="K3438" t="str">
            <v>High</v>
          </cell>
          <cell r="AB3438">
            <v>0</v>
          </cell>
        </row>
        <row r="3439">
          <cell r="B3439" t="str">
            <v>Kumaran S</v>
          </cell>
          <cell r="I3439" t="str">
            <v>Wrong</v>
          </cell>
          <cell r="J3439">
            <v>1.96</v>
          </cell>
          <cell r="K3439" t="str">
            <v>High</v>
          </cell>
          <cell r="AB3439">
            <v>0</v>
          </cell>
        </row>
        <row r="3440">
          <cell r="B3440" t="str">
            <v>Kumaran S</v>
          </cell>
          <cell r="I3440" t="str">
            <v>Correct</v>
          </cell>
          <cell r="J3440">
            <v>2.59</v>
          </cell>
          <cell r="K3440" t="str">
            <v>High</v>
          </cell>
          <cell r="AB3440">
            <v>2.3199999999999998</v>
          </cell>
        </row>
        <row r="3441">
          <cell r="B3441" t="str">
            <v>Kumaran S</v>
          </cell>
          <cell r="I3441" t="str">
            <v>Correct</v>
          </cell>
          <cell r="J3441">
            <v>2.56</v>
          </cell>
          <cell r="K3441" t="str">
            <v>High</v>
          </cell>
          <cell r="AB3441">
            <v>2.34</v>
          </cell>
        </row>
        <row r="3442">
          <cell r="B3442" t="str">
            <v>Mohanapriya R</v>
          </cell>
          <cell r="I3442" t="str">
            <v>Correct</v>
          </cell>
          <cell r="J3442">
            <v>1.74</v>
          </cell>
          <cell r="K3442" t="str">
            <v>Low</v>
          </cell>
          <cell r="AB3442">
            <v>1.72</v>
          </cell>
        </row>
        <row r="3443">
          <cell r="B3443" t="str">
            <v>Mohanapriya R</v>
          </cell>
          <cell r="I3443" t="str">
            <v>Correct</v>
          </cell>
          <cell r="J3443">
            <v>0.98</v>
          </cell>
          <cell r="K3443" t="str">
            <v>Low</v>
          </cell>
          <cell r="AB3443">
            <v>1</v>
          </cell>
        </row>
        <row r="3444">
          <cell r="B3444" t="str">
            <v>Mohanapriya R</v>
          </cell>
          <cell r="I3444" t="str">
            <v>Correct</v>
          </cell>
          <cell r="J3444">
            <v>1.83</v>
          </cell>
          <cell r="K3444" t="str">
            <v>Low</v>
          </cell>
          <cell r="AB3444">
            <v>1.64</v>
          </cell>
        </row>
        <row r="3445">
          <cell r="B3445" t="str">
            <v>Mohanapriya R</v>
          </cell>
          <cell r="I3445" t="str">
            <v>Correct</v>
          </cell>
          <cell r="J3445">
            <v>1.1399999999999999</v>
          </cell>
          <cell r="K3445" t="str">
            <v>Low</v>
          </cell>
          <cell r="AB3445">
            <v>1</v>
          </cell>
        </row>
        <row r="3446">
          <cell r="B3446" t="str">
            <v>Mohanapriya R</v>
          </cell>
          <cell r="I3446" t="str">
            <v>Correct</v>
          </cell>
          <cell r="J3446">
            <v>1.07</v>
          </cell>
          <cell r="K3446" t="str">
            <v>Low</v>
          </cell>
          <cell r="AB3446">
            <v>1</v>
          </cell>
        </row>
        <row r="3447">
          <cell r="B3447" t="str">
            <v>Mohanapriya R</v>
          </cell>
          <cell r="I3447" t="str">
            <v>Correct</v>
          </cell>
          <cell r="J3447">
            <v>1.74</v>
          </cell>
          <cell r="K3447" t="str">
            <v>Low</v>
          </cell>
          <cell r="AB3447">
            <v>1.72</v>
          </cell>
        </row>
        <row r="3448">
          <cell r="B3448" t="str">
            <v>Mohanapriya R</v>
          </cell>
          <cell r="I3448" t="str">
            <v>Correct</v>
          </cell>
          <cell r="J3448">
            <v>1.1499999999999999</v>
          </cell>
          <cell r="K3448" t="str">
            <v>Low</v>
          </cell>
          <cell r="AB3448">
            <v>1</v>
          </cell>
        </row>
        <row r="3449">
          <cell r="B3449" t="str">
            <v>Mohanapriya R</v>
          </cell>
          <cell r="I3449" t="str">
            <v>Correct</v>
          </cell>
          <cell r="J3449">
            <v>1.45</v>
          </cell>
          <cell r="K3449" t="str">
            <v>Low</v>
          </cell>
          <cell r="AB3449">
            <v>2</v>
          </cell>
        </row>
        <row r="3450">
          <cell r="B3450" t="str">
            <v>Mohanapriya R</v>
          </cell>
          <cell r="I3450" t="str">
            <v>Wrong</v>
          </cell>
          <cell r="J3450">
            <v>1.27</v>
          </cell>
          <cell r="K3450" t="str">
            <v>Low</v>
          </cell>
          <cell r="AB3450">
            <v>0</v>
          </cell>
        </row>
        <row r="3451">
          <cell r="B3451" t="str">
            <v>Mohanapriya R</v>
          </cell>
          <cell r="I3451" t="str">
            <v>Correct</v>
          </cell>
          <cell r="J3451">
            <v>2.11</v>
          </cell>
          <cell r="K3451" t="str">
            <v>Medium</v>
          </cell>
          <cell r="AB3451">
            <v>1.71</v>
          </cell>
        </row>
        <row r="3452">
          <cell r="B3452" t="str">
            <v>Mohanapriya R</v>
          </cell>
          <cell r="I3452" t="str">
            <v>Correct</v>
          </cell>
          <cell r="J3452">
            <v>2.11</v>
          </cell>
          <cell r="K3452" t="str">
            <v>Medium</v>
          </cell>
          <cell r="AB3452">
            <v>1.71</v>
          </cell>
        </row>
        <row r="3453">
          <cell r="B3453" t="str">
            <v>Mohanapriya R</v>
          </cell>
          <cell r="I3453" t="str">
            <v>Wrong</v>
          </cell>
          <cell r="J3453">
            <v>1.32</v>
          </cell>
          <cell r="K3453" t="str">
            <v>Medium</v>
          </cell>
          <cell r="AB3453">
            <v>0</v>
          </cell>
        </row>
        <row r="3454">
          <cell r="B3454" t="str">
            <v>Mohanapriya R</v>
          </cell>
          <cell r="I3454" t="str">
            <v>Correct</v>
          </cell>
          <cell r="J3454">
            <v>2</v>
          </cell>
          <cell r="K3454" t="str">
            <v>Medium</v>
          </cell>
          <cell r="AB3454">
            <v>1.8</v>
          </cell>
        </row>
        <row r="3455">
          <cell r="B3455" t="str">
            <v>Mohanapriya R</v>
          </cell>
          <cell r="I3455" t="str">
            <v>Wrong</v>
          </cell>
          <cell r="J3455">
            <v>1.55</v>
          </cell>
          <cell r="K3455" t="str">
            <v>Medium</v>
          </cell>
          <cell r="AB3455">
            <v>0</v>
          </cell>
        </row>
        <row r="3456">
          <cell r="B3456" t="str">
            <v>Mohanapriya R</v>
          </cell>
          <cell r="I3456" t="str">
            <v>Wrong</v>
          </cell>
          <cell r="J3456">
            <v>2</v>
          </cell>
          <cell r="K3456" t="str">
            <v>Medium</v>
          </cell>
          <cell r="AB3456">
            <v>0</v>
          </cell>
        </row>
        <row r="3457">
          <cell r="B3457" t="str">
            <v>Mohanapriya R</v>
          </cell>
          <cell r="I3457" t="str">
            <v>Wrong</v>
          </cell>
          <cell r="J3457">
            <v>2.5299999999999998</v>
          </cell>
          <cell r="K3457" t="str">
            <v>High</v>
          </cell>
          <cell r="AB3457">
            <v>0</v>
          </cell>
        </row>
        <row r="3458">
          <cell r="B3458" t="str">
            <v>Mohanapriya R</v>
          </cell>
          <cell r="I3458" t="str">
            <v>Wrong</v>
          </cell>
          <cell r="J3458">
            <v>2.48</v>
          </cell>
          <cell r="K3458" t="str">
            <v>High</v>
          </cell>
          <cell r="AB3458">
            <v>0</v>
          </cell>
        </row>
        <row r="3459">
          <cell r="B3459" t="str">
            <v>Mohanapriya R</v>
          </cell>
          <cell r="I3459" t="str">
            <v>Wrong</v>
          </cell>
          <cell r="J3459">
            <v>1.47</v>
          </cell>
          <cell r="K3459" t="str">
            <v>High</v>
          </cell>
          <cell r="AB3459">
            <v>0</v>
          </cell>
        </row>
        <row r="3460">
          <cell r="B3460" t="str">
            <v>Mohanapriya R</v>
          </cell>
          <cell r="I3460" t="str">
            <v>Wrong</v>
          </cell>
          <cell r="J3460">
            <v>1.44</v>
          </cell>
          <cell r="K3460" t="str">
            <v>High</v>
          </cell>
          <cell r="AB3460">
            <v>0</v>
          </cell>
        </row>
        <row r="3461">
          <cell r="B3461" t="str">
            <v>Mohanapriya R</v>
          </cell>
          <cell r="I3461" t="str">
            <v>Correct</v>
          </cell>
          <cell r="J3461">
            <v>2.57</v>
          </cell>
          <cell r="K3461" t="str">
            <v>High</v>
          </cell>
          <cell r="AB3461">
            <v>2.33</v>
          </cell>
        </row>
        <row r="3462">
          <cell r="B3462" t="str">
            <v>Naren Kumar</v>
          </cell>
          <cell r="I3462" t="str">
            <v>Correct</v>
          </cell>
          <cell r="J3462">
            <v>0.98</v>
          </cell>
          <cell r="K3462" t="str">
            <v>Low</v>
          </cell>
          <cell r="AB3462">
            <v>2</v>
          </cell>
        </row>
        <row r="3463">
          <cell r="B3463" t="str">
            <v>Naren Kumar</v>
          </cell>
          <cell r="I3463" t="str">
            <v>Correct</v>
          </cell>
          <cell r="J3463">
            <v>1.76</v>
          </cell>
          <cell r="K3463" t="str">
            <v>Low</v>
          </cell>
          <cell r="AB3463">
            <v>0.85</v>
          </cell>
        </row>
        <row r="3464">
          <cell r="B3464" t="str">
            <v>Naren Kumar</v>
          </cell>
          <cell r="I3464" t="str">
            <v>Correct</v>
          </cell>
          <cell r="J3464">
            <v>1.77</v>
          </cell>
          <cell r="K3464" t="str">
            <v>Low</v>
          </cell>
          <cell r="AB3464">
            <v>1.69</v>
          </cell>
        </row>
        <row r="3465">
          <cell r="B3465" t="str">
            <v>Naren Kumar</v>
          </cell>
          <cell r="I3465" t="str">
            <v>Correct</v>
          </cell>
          <cell r="J3465">
            <v>1.08</v>
          </cell>
          <cell r="K3465" t="str">
            <v>Low</v>
          </cell>
          <cell r="AB3465">
            <v>1</v>
          </cell>
        </row>
        <row r="3466">
          <cell r="B3466" t="str">
            <v>Naren Kumar</v>
          </cell>
          <cell r="I3466" t="str">
            <v>Correct</v>
          </cell>
          <cell r="J3466">
            <v>1.74</v>
          </cell>
          <cell r="K3466" t="str">
            <v>Low</v>
          </cell>
          <cell r="AB3466">
            <v>0.86</v>
          </cell>
        </row>
        <row r="3467">
          <cell r="B3467" t="str">
            <v>Naren Kumar</v>
          </cell>
          <cell r="I3467" t="str">
            <v>Correct</v>
          </cell>
          <cell r="J3467">
            <v>1.88</v>
          </cell>
          <cell r="K3467" t="str">
            <v>Low</v>
          </cell>
          <cell r="AB3467">
            <v>1.6</v>
          </cell>
        </row>
        <row r="3468">
          <cell r="B3468" t="str">
            <v>Naren Kumar</v>
          </cell>
          <cell r="I3468" t="str">
            <v>Correct</v>
          </cell>
          <cell r="J3468">
            <v>1.31</v>
          </cell>
          <cell r="K3468" t="str">
            <v>Low</v>
          </cell>
          <cell r="AB3468">
            <v>1</v>
          </cell>
        </row>
        <row r="3469">
          <cell r="B3469" t="str">
            <v>Naren Kumar</v>
          </cell>
          <cell r="I3469" t="str">
            <v>Wrong</v>
          </cell>
          <cell r="J3469">
            <v>1.21</v>
          </cell>
          <cell r="K3469" t="str">
            <v>Low</v>
          </cell>
          <cell r="AB3469">
            <v>0</v>
          </cell>
        </row>
        <row r="3470">
          <cell r="B3470" t="str">
            <v>Naren Kumar</v>
          </cell>
          <cell r="I3470" t="str">
            <v>Correct</v>
          </cell>
          <cell r="J3470">
            <v>1.43</v>
          </cell>
          <cell r="K3470" t="str">
            <v>Low</v>
          </cell>
          <cell r="AB3470">
            <v>2</v>
          </cell>
        </row>
        <row r="3471">
          <cell r="B3471" t="str">
            <v>Naren Kumar</v>
          </cell>
          <cell r="I3471" t="str">
            <v>Correct</v>
          </cell>
          <cell r="J3471">
            <v>1.39</v>
          </cell>
          <cell r="K3471" t="str">
            <v>Medium</v>
          </cell>
          <cell r="AB3471">
            <v>2</v>
          </cell>
        </row>
        <row r="3472">
          <cell r="B3472" t="str">
            <v>Naren Kumar</v>
          </cell>
          <cell r="I3472" t="str">
            <v>Correct</v>
          </cell>
          <cell r="J3472">
            <v>2.0699999999999998</v>
          </cell>
          <cell r="K3472" t="str">
            <v>Medium</v>
          </cell>
          <cell r="AB3472">
            <v>1.74</v>
          </cell>
        </row>
        <row r="3473">
          <cell r="B3473" t="str">
            <v>Naren Kumar</v>
          </cell>
          <cell r="I3473" t="str">
            <v>Wrong</v>
          </cell>
          <cell r="J3473">
            <v>2.14</v>
          </cell>
          <cell r="K3473" t="str">
            <v>Medium</v>
          </cell>
          <cell r="AB3473">
            <v>0</v>
          </cell>
        </row>
        <row r="3474">
          <cell r="B3474" t="str">
            <v>Naren Kumar</v>
          </cell>
          <cell r="I3474" t="str">
            <v>Wrong</v>
          </cell>
          <cell r="J3474">
            <v>1.21</v>
          </cell>
          <cell r="K3474" t="str">
            <v>Medium</v>
          </cell>
          <cell r="AB3474">
            <v>0</v>
          </cell>
        </row>
        <row r="3475">
          <cell r="B3475" t="str">
            <v>Naren Kumar</v>
          </cell>
          <cell r="I3475" t="str">
            <v>Correct</v>
          </cell>
          <cell r="J3475">
            <v>1.39</v>
          </cell>
          <cell r="K3475" t="str">
            <v>Medium</v>
          </cell>
          <cell r="AB3475">
            <v>2</v>
          </cell>
        </row>
        <row r="3476">
          <cell r="B3476" t="str">
            <v>Naren Kumar</v>
          </cell>
          <cell r="I3476" t="str">
            <v>Correct</v>
          </cell>
          <cell r="J3476">
            <v>1.72</v>
          </cell>
          <cell r="K3476" t="str">
            <v>Medium</v>
          </cell>
          <cell r="AB3476">
            <v>2</v>
          </cell>
        </row>
        <row r="3477">
          <cell r="B3477" t="str">
            <v>Naren Kumar</v>
          </cell>
          <cell r="I3477" t="str">
            <v>Correct</v>
          </cell>
          <cell r="J3477">
            <v>2.04</v>
          </cell>
          <cell r="K3477" t="str">
            <v>High</v>
          </cell>
          <cell r="AB3477">
            <v>2.94</v>
          </cell>
        </row>
        <row r="3478">
          <cell r="B3478" t="str">
            <v>Naren Kumar</v>
          </cell>
          <cell r="I3478" t="str">
            <v>Correct</v>
          </cell>
          <cell r="J3478">
            <v>1.77</v>
          </cell>
          <cell r="K3478" t="str">
            <v>High</v>
          </cell>
          <cell r="AB3478">
            <v>3</v>
          </cell>
        </row>
        <row r="3479">
          <cell r="B3479" t="str">
            <v>Naren Kumar</v>
          </cell>
          <cell r="I3479" t="str">
            <v>Wrong</v>
          </cell>
          <cell r="J3479">
            <v>1.35</v>
          </cell>
          <cell r="K3479" t="str">
            <v>High</v>
          </cell>
          <cell r="AB3479">
            <v>0</v>
          </cell>
        </row>
        <row r="3480">
          <cell r="B3480" t="str">
            <v>Naren Kumar</v>
          </cell>
          <cell r="I3480" t="str">
            <v>Wrong</v>
          </cell>
          <cell r="J3480">
            <v>2.4700000000000002</v>
          </cell>
          <cell r="K3480" t="str">
            <v>High</v>
          </cell>
          <cell r="AB3480">
            <v>0</v>
          </cell>
        </row>
        <row r="3481">
          <cell r="B3481" t="str">
            <v>Naren Kumar</v>
          </cell>
          <cell r="I3481" t="str">
            <v>Wrong</v>
          </cell>
          <cell r="J3481">
            <v>1.37</v>
          </cell>
          <cell r="K3481" t="str">
            <v>High</v>
          </cell>
          <cell r="AB3481">
            <v>0</v>
          </cell>
        </row>
        <row r="3482">
          <cell r="B3482" t="str">
            <v>Suresh Babu</v>
          </cell>
          <cell r="I3482" t="str">
            <v>Correct</v>
          </cell>
          <cell r="J3482">
            <v>1.62</v>
          </cell>
          <cell r="K3482" t="str">
            <v>Low</v>
          </cell>
          <cell r="AB3482">
            <v>1.85</v>
          </cell>
        </row>
        <row r="3483">
          <cell r="B3483" t="str">
            <v>Suresh Babu</v>
          </cell>
          <cell r="I3483" t="str">
            <v>Correct</v>
          </cell>
          <cell r="J3483">
            <v>1.97</v>
          </cell>
          <cell r="K3483" t="str">
            <v>Low</v>
          </cell>
          <cell r="AB3483">
            <v>0.76</v>
          </cell>
        </row>
        <row r="3484">
          <cell r="B3484" t="str">
            <v>Suresh Babu</v>
          </cell>
          <cell r="I3484" t="str">
            <v>Wrong</v>
          </cell>
          <cell r="J3484">
            <v>1.76</v>
          </cell>
          <cell r="K3484" t="str">
            <v>Low</v>
          </cell>
          <cell r="AB3484">
            <v>0</v>
          </cell>
        </row>
        <row r="3485">
          <cell r="B3485" t="str">
            <v>Suresh Babu</v>
          </cell>
          <cell r="I3485" t="str">
            <v>Correct</v>
          </cell>
          <cell r="J3485">
            <v>1.93</v>
          </cell>
          <cell r="K3485" t="str">
            <v>Low</v>
          </cell>
          <cell r="AB3485">
            <v>0.78</v>
          </cell>
        </row>
        <row r="3486">
          <cell r="B3486" t="str">
            <v>Suresh Babu</v>
          </cell>
          <cell r="I3486" t="str">
            <v>Correct</v>
          </cell>
          <cell r="J3486">
            <v>1.65</v>
          </cell>
          <cell r="K3486" t="str">
            <v>Low</v>
          </cell>
          <cell r="AB3486">
            <v>0.91</v>
          </cell>
        </row>
        <row r="3487">
          <cell r="B3487" t="str">
            <v>Suresh Babu</v>
          </cell>
          <cell r="I3487" t="str">
            <v>Correct</v>
          </cell>
          <cell r="J3487">
            <v>1.65</v>
          </cell>
          <cell r="K3487" t="str">
            <v>Low</v>
          </cell>
          <cell r="AB3487">
            <v>1.82</v>
          </cell>
        </row>
        <row r="3488">
          <cell r="B3488" t="str">
            <v>Suresh Babu</v>
          </cell>
          <cell r="I3488" t="str">
            <v>Wrong</v>
          </cell>
          <cell r="J3488">
            <v>1.94</v>
          </cell>
          <cell r="K3488" t="str">
            <v>Low</v>
          </cell>
          <cell r="AB3488">
            <v>0</v>
          </cell>
        </row>
        <row r="3489">
          <cell r="B3489" t="str">
            <v>Suresh Babu</v>
          </cell>
          <cell r="I3489" t="str">
            <v>Correct</v>
          </cell>
          <cell r="J3489">
            <v>1.74</v>
          </cell>
          <cell r="K3489" t="str">
            <v>Low</v>
          </cell>
          <cell r="AB3489">
            <v>1.72</v>
          </cell>
        </row>
        <row r="3490">
          <cell r="B3490" t="str">
            <v>Suresh Babu</v>
          </cell>
          <cell r="I3490" t="str">
            <v>Correct</v>
          </cell>
          <cell r="J3490">
            <v>0.94</v>
          </cell>
          <cell r="K3490" t="str">
            <v>Low</v>
          </cell>
          <cell r="AB3490">
            <v>2</v>
          </cell>
        </row>
        <row r="3491">
          <cell r="B3491" t="str">
            <v>Suresh Babu</v>
          </cell>
          <cell r="I3491" t="str">
            <v>Wrong</v>
          </cell>
          <cell r="J3491">
            <v>1.1200000000000001</v>
          </cell>
          <cell r="K3491" t="str">
            <v>Medium</v>
          </cell>
          <cell r="AB3491">
            <v>0</v>
          </cell>
        </row>
        <row r="3492">
          <cell r="B3492" t="str">
            <v>Suresh Babu</v>
          </cell>
          <cell r="I3492" t="str">
            <v>Wrong</v>
          </cell>
          <cell r="J3492">
            <v>1.94</v>
          </cell>
          <cell r="K3492" t="str">
            <v>Medium</v>
          </cell>
          <cell r="AB3492">
            <v>0</v>
          </cell>
        </row>
        <row r="3493">
          <cell r="B3493" t="str">
            <v>Suresh Babu</v>
          </cell>
          <cell r="I3493" t="str">
            <v>Correct</v>
          </cell>
          <cell r="J3493">
            <v>1.34</v>
          </cell>
          <cell r="K3493" t="str">
            <v>Medium</v>
          </cell>
          <cell r="AB3493">
            <v>2</v>
          </cell>
        </row>
        <row r="3494">
          <cell r="B3494" t="str">
            <v>Suresh Babu</v>
          </cell>
          <cell r="I3494" t="str">
            <v>Wrong</v>
          </cell>
          <cell r="J3494">
            <v>1.89</v>
          </cell>
          <cell r="K3494" t="str">
            <v>Medium</v>
          </cell>
          <cell r="AB3494">
            <v>0</v>
          </cell>
        </row>
        <row r="3495">
          <cell r="B3495" t="str">
            <v>Suresh Babu</v>
          </cell>
          <cell r="I3495" t="str">
            <v>Correct</v>
          </cell>
          <cell r="J3495">
            <v>1.1299999999999999</v>
          </cell>
          <cell r="K3495" t="str">
            <v>Medium</v>
          </cell>
          <cell r="AB3495">
            <v>2</v>
          </cell>
        </row>
        <row r="3496">
          <cell r="B3496" t="str">
            <v>Suresh Babu</v>
          </cell>
          <cell r="I3496" t="str">
            <v>Correct</v>
          </cell>
          <cell r="J3496">
            <v>1.19</v>
          </cell>
          <cell r="K3496" t="str">
            <v>Medium</v>
          </cell>
          <cell r="AB3496">
            <v>2</v>
          </cell>
        </row>
        <row r="3497">
          <cell r="B3497" t="str">
            <v>Suresh Babu</v>
          </cell>
          <cell r="I3497" t="str">
            <v>Correct</v>
          </cell>
          <cell r="J3497">
            <v>2.4</v>
          </cell>
          <cell r="K3497" t="str">
            <v>High</v>
          </cell>
          <cell r="AB3497">
            <v>2.5</v>
          </cell>
        </row>
        <row r="3498">
          <cell r="B3498" t="str">
            <v>Suresh Babu</v>
          </cell>
          <cell r="I3498" t="str">
            <v>Correct</v>
          </cell>
          <cell r="J3498">
            <v>2.06</v>
          </cell>
          <cell r="K3498" t="str">
            <v>High</v>
          </cell>
          <cell r="AB3498">
            <v>2.91</v>
          </cell>
        </row>
        <row r="3499">
          <cell r="B3499" t="str">
            <v>Suresh Babu</v>
          </cell>
          <cell r="I3499" t="str">
            <v>Wrong</v>
          </cell>
          <cell r="J3499">
            <v>1.71</v>
          </cell>
          <cell r="K3499" t="str">
            <v>High</v>
          </cell>
          <cell r="AB3499">
            <v>0</v>
          </cell>
        </row>
        <row r="3500">
          <cell r="B3500" t="str">
            <v>Suresh Babu</v>
          </cell>
          <cell r="I3500" t="str">
            <v>Wrong</v>
          </cell>
          <cell r="J3500">
            <v>2.58</v>
          </cell>
          <cell r="K3500" t="str">
            <v>High</v>
          </cell>
          <cell r="AB3500">
            <v>0</v>
          </cell>
        </row>
        <row r="3501">
          <cell r="B3501" t="str">
            <v>Suresh Babu</v>
          </cell>
          <cell r="I3501" t="str">
            <v>Wrong</v>
          </cell>
          <cell r="J3501">
            <v>1.6</v>
          </cell>
          <cell r="K3501" t="str">
            <v>High</v>
          </cell>
          <cell r="AB3501">
            <v>0</v>
          </cell>
        </row>
        <row r="3502">
          <cell r="B3502" t="str">
            <v>Vishnu Priya</v>
          </cell>
          <cell r="I3502" t="str">
            <v>Correct</v>
          </cell>
          <cell r="J3502">
            <v>1.1299999999999999</v>
          </cell>
          <cell r="K3502" t="str">
            <v>Low</v>
          </cell>
          <cell r="AB3502">
            <v>2</v>
          </cell>
        </row>
        <row r="3503">
          <cell r="B3503" t="str">
            <v>Vishnu Priya</v>
          </cell>
          <cell r="I3503" t="str">
            <v>Correct</v>
          </cell>
          <cell r="J3503">
            <v>1.9</v>
          </cell>
          <cell r="K3503" t="str">
            <v>Low</v>
          </cell>
          <cell r="AB3503">
            <v>0.79</v>
          </cell>
        </row>
        <row r="3504">
          <cell r="B3504" t="str">
            <v>Vishnu Priya</v>
          </cell>
          <cell r="I3504" t="str">
            <v>Correct</v>
          </cell>
          <cell r="J3504">
            <v>0.93</v>
          </cell>
          <cell r="K3504" t="str">
            <v>Low</v>
          </cell>
          <cell r="AB3504">
            <v>2</v>
          </cell>
        </row>
        <row r="3505">
          <cell r="B3505" t="str">
            <v>Vishnu Priya</v>
          </cell>
          <cell r="I3505" t="str">
            <v>Correct</v>
          </cell>
          <cell r="J3505">
            <v>1.76</v>
          </cell>
          <cell r="K3505" t="str">
            <v>Low</v>
          </cell>
          <cell r="AB3505">
            <v>0.85</v>
          </cell>
        </row>
        <row r="3506">
          <cell r="B3506" t="str">
            <v>Vishnu Priya</v>
          </cell>
          <cell r="I3506" t="str">
            <v>Correct</v>
          </cell>
          <cell r="J3506">
            <v>1.08</v>
          </cell>
          <cell r="K3506" t="str">
            <v>Low</v>
          </cell>
          <cell r="AB3506">
            <v>1</v>
          </cell>
        </row>
        <row r="3507">
          <cell r="B3507" t="str">
            <v>Vishnu Priya</v>
          </cell>
          <cell r="I3507" t="str">
            <v>Correct</v>
          </cell>
          <cell r="J3507">
            <v>1.95</v>
          </cell>
          <cell r="K3507" t="str">
            <v>Low</v>
          </cell>
          <cell r="AB3507">
            <v>1.54</v>
          </cell>
        </row>
        <row r="3508">
          <cell r="B3508" t="str">
            <v>Vishnu Priya</v>
          </cell>
          <cell r="I3508" t="str">
            <v>Wrong</v>
          </cell>
          <cell r="J3508">
            <v>1.96</v>
          </cell>
          <cell r="K3508" t="str">
            <v>Low</v>
          </cell>
          <cell r="AB3508">
            <v>0</v>
          </cell>
        </row>
        <row r="3509">
          <cell r="B3509" t="str">
            <v>Vishnu Priya</v>
          </cell>
          <cell r="I3509" t="str">
            <v>Correct</v>
          </cell>
          <cell r="J3509">
            <v>1.3</v>
          </cell>
          <cell r="K3509" t="str">
            <v>Low</v>
          </cell>
          <cell r="AB3509">
            <v>2</v>
          </cell>
        </row>
        <row r="3510">
          <cell r="B3510" t="str">
            <v>Vishnu Priya</v>
          </cell>
          <cell r="I3510" t="str">
            <v>Wrong</v>
          </cell>
          <cell r="J3510">
            <v>1.69</v>
          </cell>
          <cell r="K3510" t="str">
            <v>Low</v>
          </cell>
          <cell r="AB3510">
            <v>0</v>
          </cell>
        </row>
        <row r="3511">
          <cell r="B3511" t="str">
            <v>Vishnu Priya</v>
          </cell>
          <cell r="I3511" t="str">
            <v>Wrong</v>
          </cell>
          <cell r="J3511">
            <v>1.28</v>
          </cell>
          <cell r="K3511" t="str">
            <v>Medium</v>
          </cell>
          <cell r="AB3511">
            <v>0</v>
          </cell>
        </row>
        <row r="3512">
          <cell r="B3512" t="str">
            <v>Vishnu Priya</v>
          </cell>
          <cell r="I3512" t="str">
            <v>Correct</v>
          </cell>
          <cell r="J3512">
            <v>1.93</v>
          </cell>
          <cell r="K3512" t="str">
            <v>Medium</v>
          </cell>
          <cell r="AB3512">
            <v>1.87</v>
          </cell>
        </row>
        <row r="3513">
          <cell r="B3513" t="str">
            <v>Vishnu Priya</v>
          </cell>
          <cell r="I3513" t="str">
            <v>Wrong</v>
          </cell>
          <cell r="J3513">
            <v>1.3</v>
          </cell>
          <cell r="K3513" t="str">
            <v>Medium</v>
          </cell>
          <cell r="AB3513">
            <v>0</v>
          </cell>
        </row>
        <row r="3514">
          <cell r="B3514" t="str">
            <v>Vishnu Priya</v>
          </cell>
          <cell r="I3514" t="str">
            <v>Wrong</v>
          </cell>
          <cell r="J3514">
            <v>1.42</v>
          </cell>
          <cell r="K3514" t="str">
            <v>Medium</v>
          </cell>
          <cell r="AB3514">
            <v>0</v>
          </cell>
        </row>
        <row r="3515">
          <cell r="B3515" t="str">
            <v>Vishnu Priya</v>
          </cell>
          <cell r="I3515" t="str">
            <v>Wrong</v>
          </cell>
          <cell r="J3515">
            <v>2.12</v>
          </cell>
          <cell r="K3515" t="str">
            <v>Medium</v>
          </cell>
          <cell r="AB3515">
            <v>0</v>
          </cell>
        </row>
        <row r="3516">
          <cell r="B3516" t="str">
            <v>Vishnu Priya</v>
          </cell>
          <cell r="I3516" t="str">
            <v>Wrong</v>
          </cell>
          <cell r="J3516">
            <v>1.75</v>
          </cell>
          <cell r="K3516" t="str">
            <v>Medium</v>
          </cell>
          <cell r="AB3516">
            <v>0</v>
          </cell>
        </row>
        <row r="3517">
          <cell r="B3517" t="str">
            <v>Vishnu Priya</v>
          </cell>
          <cell r="I3517" t="str">
            <v>Correct</v>
          </cell>
          <cell r="J3517">
            <v>2.46</v>
          </cell>
          <cell r="K3517" t="str">
            <v>High</v>
          </cell>
          <cell r="AB3517">
            <v>2.44</v>
          </cell>
        </row>
        <row r="3518">
          <cell r="B3518" t="str">
            <v>Vishnu Priya</v>
          </cell>
          <cell r="I3518" t="str">
            <v>Wrong</v>
          </cell>
          <cell r="J3518">
            <v>2.27</v>
          </cell>
          <cell r="K3518" t="str">
            <v>High</v>
          </cell>
          <cell r="AB3518">
            <v>0</v>
          </cell>
        </row>
        <row r="3519">
          <cell r="B3519" t="str">
            <v>Vishnu Priya</v>
          </cell>
          <cell r="I3519" t="str">
            <v>Correct</v>
          </cell>
          <cell r="J3519">
            <v>2.5099999999999998</v>
          </cell>
          <cell r="K3519" t="str">
            <v>High</v>
          </cell>
          <cell r="AB3519">
            <v>2.39</v>
          </cell>
        </row>
        <row r="3520">
          <cell r="B3520" t="str">
            <v>Vishnu Priya</v>
          </cell>
          <cell r="I3520" t="str">
            <v>Wrong</v>
          </cell>
          <cell r="J3520">
            <v>1.8</v>
          </cell>
          <cell r="K3520" t="str">
            <v>High</v>
          </cell>
          <cell r="AB3520">
            <v>0</v>
          </cell>
        </row>
        <row r="3521">
          <cell r="B3521" t="str">
            <v>Vishnu Priya</v>
          </cell>
          <cell r="I3521" t="str">
            <v>Correct</v>
          </cell>
          <cell r="J3521">
            <v>2.0099999999999998</v>
          </cell>
          <cell r="K3521" t="str">
            <v>High</v>
          </cell>
          <cell r="AB3521">
            <v>2.99</v>
          </cell>
        </row>
        <row r="3522">
          <cell r="B3522" t="str">
            <v>Anitha R</v>
          </cell>
          <cell r="I3522" t="str">
            <v>Correct</v>
          </cell>
          <cell r="J3522">
            <v>1.2</v>
          </cell>
          <cell r="K3522" t="str">
            <v>Low</v>
          </cell>
          <cell r="AB3522">
            <v>2</v>
          </cell>
        </row>
        <row r="3523">
          <cell r="B3523" t="str">
            <v>Anitha R</v>
          </cell>
          <cell r="I3523" t="str">
            <v>Correct</v>
          </cell>
          <cell r="J3523">
            <v>0.91</v>
          </cell>
          <cell r="K3523" t="str">
            <v>Low</v>
          </cell>
          <cell r="AB3523">
            <v>1</v>
          </cell>
        </row>
        <row r="3524">
          <cell r="B3524" t="str">
            <v>Anitha R</v>
          </cell>
          <cell r="I3524" t="str">
            <v>Correct</v>
          </cell>
          <cell r="J3524">
            <v>1.91</v>
          </cell>
          <cell r="K3524" t="str">
            <v>Low</v>
          </cell>
          <cell r="AB3524">
            <v>1.57</v>
          </cell>
        </row>
        <row r="3525">
          <cell r="B3525" t="str">
            <v>Anitha R</v>
          </cell>
          <cell r="I3525" t="str">
            <v>Wrong</v>
          </cell>
          <cell r="J3525">
            <v>1.92</v>
          </cell>
          <cell r="K3525" t="str">
            <v>Low</v>
          </cell>
          <cell r="AB3525">
            <v>0</v>
          </cell>
        </row>
        <row r="3526">
          <cell r="B3526" t="str">
            <v>Anitha R</v>
          </cell>
          <cell r="I3526" t="str">
            <v>Correct</v>
          </cell>
          <cell r="J3526">
            <v>1.98</v>
          </cell>
          <cell r="K3526" t="str">
            <v>Low</v>
          </cell>
          <cell r="AB3526">
            <v>0.76</v>
          </cell>
        </row>
        <row r="3527">
          <cell r="B3527" t="str">
            <v>Anitha R</v>
          </cell>
          <cell r="I3527" t="str">
            <v>Correct</v>
          </cell>
          <cell r="J3527">
            <v>1.2</v>
          </cell>
          <cell r="K3527" t="str">
            <v>Low</v>
          </cell>
          <cell r="AB3527">
            <v>2</v>
          </cell>
        </row>
        <row r="3528">
          <cell r="B3528" t="str">
            <v>Anitha R</v>
          </cell>
          <cell r="I3528" t="str">
            <v>Correct</v>
          </cell>
          <cell r="J3528">
            <v>0.98</v>
          </cell>
          <cell r="K3528" t="str">
            <v>Low</v>
          </cell>
          <cell r="AB3528">
            <v>1</v>
          </cell>
        </row>
        <row r="3529">
          <cell r="B3529" t="str">
            <v>Anitha R</v>
          </cell>
          <cell r="I3529" t="str">
            <v>Wrong</v>
          </cell>
          <cell r="J3529">
            <v>1.07</v>
          </cell>
          <cell r="K3529" t="str">
            <v>Low</v>
          </cell>
          <cell r="AB3529">
            <v>0</v>
          </cell>
        </row>
        <row r="3530">
          <cell r="B3530" t="str">
            <v>Anitha R</v>
          </cell>
          <cell r="I3530" t="str">
            <v>Correct</v>
          </cell>
          <cell r="J3530">
            <v>1.98</v>
          </cell>
          <cell r="K3530" t="str">
            <v>Low</v>
          </cell>
          <cell r="AB3530">
            <v>1.52</v>
          </cell>
        </row>
        <row r="3531">
          <cell r="B3531" t="str">
            <v>Anitha R</v>
          </cell>
          <cell r="I3531" t="str">
            <v>Wrong</v>
          </cell>
          <cell r="J3531">
            <v>1.9</v>
          </cell>
          <cell r="K3531" t="str">
            <v>Medium</v>
          </cell>
          <cell r="AB3531">
            <v>0</v>
          </cell>
        </row>
        <row r="3532">
          <cell r="B3532" t="str">
            <v>Anitha R</v>
          </cell>
          <cell r="I3532" t="str">
            <v>Wrong</v>
          </cell>
          <cell r="J3532">
            <v>2.29</v>
          </cell>
          <cell r="K3532" t="str">
            <v>Medium</v>
          </cell>
          <cell r="AB3532">
            <v>0</v>
          </cell>
        </row>
        <row r="3533">
          <cell r="B3533" t="str">
            <v>Anitha R</v>
          </cell>
          <cell r="I3533" t="str">
            <v>Wrong</v>
          </cell>
          <cell r="J3533">
            <v>1.42</v>
          </cell>
          <cell r="K3533" t="str">
            <v>Medium</v>
          </cell>
          <cell r="AB3533">
            <v>0</v>
          </cell>
        </row>
        <row r="3534">
          <cell r="B3534" t="str">
            <v>Anitha R</v>
          </cell>
          <cell r="I3534" t="str">
            <v>Correct</v>
          </cell>
          <cell r="J3534">
            <v>2.08</v>
          </cell>
          <cell r="K3534" t="str">
            <v>Medium</v>
          </cell>
          <cell r="AB3534">
            <v>1.73</v>
          </cell>
        </row>
        <row r="3535">
          <cell r="B3535" t="str">
            <v>Anitha R</v>
          </cell>
          <cell r="I3535" t="str">
            <v>Correct</v>
          </cell>
          <cell r="J3535">
            <v>1.27</v>
          </cell>
          <cell r="K3535" t="str">
            <v>Medium</v>
          </cell>
          <cell r="AB3535">
            <v>2</v>
          </cell>
        </row>
        <row r="3536">
          <cell r="B3536" t="str">
            <v>Anitha R</v>
          </cell>
          <cell r="I3536" t="str">
            <v>Correct</v>
          </cell>
          <cell r="J3536">
            <v>1.38</v>
          </cell>
          <cell r="K3536" t="str">
            <v>Medium</v>
          </cell>
          <cell r="AB3536">
            <v>2</v>
          </cell>
        </row>
        <row r="3537">
          <cell r="B3537" t="str">
            <v>Anitha R</v>
          </cell>
          <cell r="I3537" t="str">
            <v>Correct</v>
          </cell>
          <cell r="J3537">
            <v>1.82</v>
          </cell>
          <cell r="K3537" t="str">
            <v>High</v>
          </cell>
          <cell r="AB3537">
            <v>3</v>
          </cell>
        </row>
        <row r="3538">
          <cell r="B3538" t="str">
            <v>Anitha R</v>
          </cell>
          <cell r="I3538" t="str">
            <v>Wrong</v>
          </cell>
          <cell r="J3538">
            <v>1.95</v>
          </cell>
          <cell r="K3538" t="str">
            <v>High</v>
          </cell>
          <cell r="AB3538">
            <v>0</v>
          </cell>
        </row>
        <row r="3539">
          <cell r="B3539" t="str">
            <v>Anitha R</v>
          </cell>
          <cell r="I3539" t="str">
            <v>Wrong</v>
          </cell>
          <cell r="J3539">
            <v>1.5</v>
          </cell>
          <cell r="K3539" t="str">
            <v>High</v>
          </cell>
          <cell r="AB3539">
            <v>0</v>
          </cell>
        </row>
        <row r="3540">
          <cell r="B3540" t="str">
            <v>Anitha R</v>
          </cell>
          <cell r="I3540" t="str">
            <v>Wrong</v>
          </cell>
          <cell r="J3540">
            <v>1.57</v>
          </cell>
          <cell r="K3540" t="str">
            <v>High</v>
          </cell>
          <cell r="AB3540">
            <v>0</v>
          </cell>
        </row>
        <row r="3541">
          <cell r="B3541" t="str">
            <v>Anitha R</v>
          </cell>
          <cell r="I3541" t="str">
            <v>Correct</v>
          </cell>
          <cell r="J3541">
            <v>2.1800000000000002</v>
          </cell>
          <cell r="K3541" t="str">
            <v>High</v>
          </cell>
          <cell r="AB3541">
            <v>2.75</v>
          </cell>
        </row>
        <row r="3542">
          <cell r="B3542" t="str">
            <v>Balaji Kumar</v>
          </cell>
          <cell r="I3542" t="str">
            <v>Correct</v>
          </cell>
          <cell r="J3542">
            <v>1.6</v>
          </cell>
          <cell r="K3542" t="str">
            <v>Low</v>
          </cell>
          <cell r="AB3542">
            <v>1.88</v>
          </cell>
        </row>
        <row r="3543">
          <cell r="B3543" t="str">
            <v>Balaji Kumar</v>
          </cell>
          <cell r="I3543" t="str">
            <v>Wrong</v>
          </cell>
          <cell r="J3543">
            <v>0.96</v>
          </cell>
          <cell r="K3543" t="str">
            <v>Low</v>
          </cell>
          <cell r="AB3543">
            <v>0</v>
          </cell>
        </row>
        <row r="3544">
          <cell r="B3544" t="str">
            <v>Balaji Kumar</v>
          </cell>
          <cell r="I3544" t="str">
            <v>Wrong</v>
          </cell>
          <cell r="J3544">
            <v>1.05</v>
          </cell>
          <cell r="K3544" t="str">
            <v>Low</v>
          </cell>
          <cell r="AB3544">
            <v>0</v>
          </cell>
        </row>
        <row r="3545">
          <cell r="B3545" t="str">
            <v>Balaji Kumar</v>
          </cell>
          <cell r="I3545" t="str">
            <v>Correct</v>
          </cell>
          <cell r="J3545">
            <v>1.5</v>
          </cell>
          <cell r="K3545" t="str">
            <v>Low</v>
          </cell>
          <cell r="AB3545">
            <v>1</v>
          </cell>
        </row>
        <row r="3546">
          <cell r="B3546" t="str">
            <v>Balaji Kumar</v>
          </cell>
          <cell r="I3546" t="str">
            <v>Correct</v>
          </cell>
          <cell r="J3546">
            <v>1</v>
          </cell>
          <cell r="K3546" t="str">
            <v>Low</v>
          </cell>
          <cell r="AB3546">
            <v>1</v>
          </cell>
        </row>
        <row r="3547">
          <cell r="B3547" t="str">
            <v>Balaji Kumar</v>
          </cell>
          <cell r="I3547" t="str">
            <v>Wrong</v>
          </cell>
          <cell r="J3547">
            <v>0.95</v>
          </cell>
          <cell r="K3547" t="str">
            <v>Low</v>
          </cell>
          <cell r="AB3547">
            <v>0</v>
          </cell>
        </row>
        <row r="3548">
          <cell r="B3548" t="str">
            <v>Balaji Kumar</v>
          </cell>
          <cell r="I3548" t="str">
            <v>Correct</v>
          </cell>
          <cell r="J3548">
            <v>1.18</v>
          </cell>
          <cell r="K3548" t="str">
            <v>Low</v>
          </cell>
          <cell r="AB3548">
            <v>1</v>
          </cell>
        </row>
        <row r="3549">
          <cell r="B3549" t="str">
            <v>Balaji Kumar</v>
          </cell>
          <cell r="I3549" t="str">
            <v>Wrong</v>
          </cell>
          <cell r="J3549">
            <v>1.97</v>
          </cell>
          <cell r="K3549" t="str">
            <v>Low</v>
          </cell>
          <cell r="AB3549">
            <v>0</v>
          </cell>
        </row>
        <row r="3550">
          <cell r="B3550" t="str">
            <v>Balaji Kumar</v>
          </cell>
          <cell r="I3550" t="str">
            <v>Correct</v>
          </cell>
          <cell r="J3550">
            <v>1.08</v>
          </cell>
          <cell r="K3550" t="str">
            <v>Low</v>
          </cell>
          <cell r="AB3550">
            <v>2</v>
          </cell>
        </row>
        <row r="3551">
          <cell r="B3551" t="str">
            <v>Balaji Kumar</v>
          </cell>
          <cell r="I3551" t="str">
            <v>Correct</v>
          </cell>
          <cell r="J3551">
            <v>1.91</v>
          </cell>
          <cell r="K3551" t="str">
            <v>Medium</v>
          </cell>
          <cell r="AB3551">
            <v>1.88</v>
          </cell>
        </row>
        <row r="3552">
          <cell r="B3552" t="str">
            <v>Balaji Kumar</v>
          </cell>
          <cell r="I3552" t="str">
            <v>Wrong</v>
          </cell>
          <cell r="J3552">
            <v>2.2400000000000002</v>
          </cell>
          <cell r="K3552" t="str">
            <v>Medium</v>
          </cell>
          <cell r="AB3552">
            <v>0</v>
          </cell>
        </row>
        <row r="3553">
          <cell r="B3553" t="str">
            <v>Balaji Kumar</v>
          </cell>
          <cell r="I3553" t="str">
            <v>Correct</v>
          </cell>
          <cell r="J3553">
            <v>2.12</v>
          </cell>
          <cell r="K3553" t="str">
            <v>Medium</v>
          </cell>
          <cell r="AB3553">
            <v>1.7</v>
          </cell>
        </row>
        <row r="3554">
          <cell r="B3554" t="str">
            <v>Balaji Kumar</v>
          </cell>
          <cell r="I3554" t="str">
            <v>Wrong</v>
          </cell>
          <cell r="J3554">
            <v>1.93</v>
          </cell>
          <cell r="K3554" t="str">
            <v>Medium</v>
          </cell>
          <cell r="AB3554">
            <v>0</v>
          </cell>
        </row>
        <row r="3555">
          <cell r="B3555" t="str">
            <v>Balaji Kumar</v>
          </cell>
          <cell r="I3555" t="str">
            <v>Wrong</v>
          </cell>
          <cell r="J3555">
            <v>2.0499999999999998</v>
          </cell>
          <cell r="K3555" t="str">
            <v>Medium</v>
          </cell>
          <cell r="AB3555">
            <v>0</v>
          </cell>
        </row>
        <row r="3556">
          <cell r="B3556" t="str">
            <v>Balaji Kumar</v>
          </cell>
          <cell r="I3556" t="str">
            <v>Correct</v>
          </cell>
          <cell r="J3556">
            <v>1.2</v>
          </cell>
          <cell r="K3556" t="str">
            <v>Medium</v>
          </cell>
          <cell r="AB3556">
            <v>2</v>
          </cell>
        </row>
        <row r="3557">
          <cell r="B3557" t="str">
            <v>Balaji Kumar</v>
          </cell>
          <cell r="I3557" t="str">
            <v>Wrong</v>
          </cell>
          <cell r="J3557">
            <v>1.89</v>
          </cell>
          <cell r="K3557" t="str">
            <v>High</v>
          </cell>
          <cell r="AB3557">
            <v>0</v>
          </cell>
        </row>
        <row r="3558">
          <cell r="B3558" t="str">
            <v>Balaji Kumar</v>
          </cell>
          <cell r="I3558" t="str">
            <v>Correct</v>
          </cell>
          <cell r="J3558">
            <v>1.93</v>
          </cell>
          <cell r="K3558" t="str">
            <v>High</v>
          </cell>
          <cell r="AB3558">
            <v>3</v>
          </cell>
        </row>
        <row r="3559">
          <cell r="B3559" t="str">
            <v>Balaji Kumar</v>
          </cell>
          <cell r="I3559" t="str">
            <v>Wrong</v>
          </cell>
          <cell r="J3559">
            <v>1.39</v>
          </cell>
          <cell r="K3559" t="str">
            <v>High</v>
          </cell>
          <cell r="AB3559">
            <v>0</v>
          </cell>
        </row>
        <row r="3560">
          <cell r="B3560" t="str">
            <v>Balaji Kumar</v>
          </cell>
          <cell r="I3560" t="str">
            <v>Wrong</v>
          </cell>
          <cell r="J3560">
            <v>1.32</v>
          </cell>
          <cell r="K3560" t="str">
            <v>High</v>
          </cell>
          <cell r="AB3560">
            <v>0</v>
          </cell>
        </row>
        <row r="3561">
          <cell r="B3561" t="str">
            <v>Balaji Kumar</v>
          </cell>
          <cell r="I3561" t="str">
            <v>Wrong</v>
          </cell>
          <cell r="J3561">
            <v>1.45</v>
          </cell>
          <cell r="K3561" t="str">
            <v>High</v>
          </cell>
          <cell r="AB3561">
            <v>0</v>
          </cell>
        </row>
        <row r="3562">
          <cell r="B3562" t="str">
            <v>Chandran S</v>
          </cell>
          <cell r="I3562" t="str">
            <v>Wrong</v>
          </cell>
          <cell r="J3562">
            <v>1.17</v>
          </cell>
          <cell r="K3562" t="str">
            <v>Low</v>
          </cell>
          <cell r="AB3562">
            <v>0</v>
          </cell>
        </row>
        <row r="3563">
          <cell r="B3563" t="str">
            <v>Chandran S</v>
          </cell>
          <cell r="I3563" t="str">
            <v>Correct</v>
          </cell>
          <cell r="J3563">
            <v>1.1299999999999999</v>
          </cell>
          <cell r="K3563" t="str">
            <v>Low</v>
          </cell>
          <cell r="AB3563">
            <v>1</v>
          </cell>
        </row>
        <row r="3564">
          <cell r="B3564" t="str">
            <v>Chandran S</v>
          </cell>
          <cell r="I3564" t="str">
            <v>Correct</v>
          </cell>
          <cell r="J3564">
            <v>1.85</v>
          </cell>
          <cell r="K3564" t="str">
            <v>Low</v>
          </cell>
          <cell r="AB3564">
            <v>1.62</v>
          </cell>
        </row>
        <row r="3565">
          <cell r="B3565" t="str">
            <v>Chandran S</v>
          </cell>
          <cell r="I3565" t="str">
            <v>Correct</v>
          </cell>
          <cell r="J3565">
            <v>1.69</v>
          </cell>
          <cell r="K3565" t="str">
            <v>Low</v>
          </cell>
          <cell r="AB3565">
            <v>0.89</v>
          </cell>
        </row>
        <row r="3566">
          <cell r="B3566" t="str">
            <v>Chandran S</v>
          </cell>
          <cell r="I3566" t="str">
            <v>Wrong</v>
          </cell>
          <cell r="J3566">
            <v>1.1399999999999999</v>
          </cell>
          <cell r="K3566" t="str">
            <v>Low</v>
          </cell>
          <cell r="AB3566">
            <v>0</v>
          </cell>
        </row>
        <row r="3567">
          <cell r="B3567" t="str">
            <v>Chandran S</v>
          </cell>
          <cell r="I3567" t="str">
            <v>Correct</v>
          </cell>
          <cell r="J3567">
            <v>1.67</v>
          </cell>
          <cell r="K3567" t="str">
            <v>Low</v>
          </cell>
          <cell r="AB3567">
            <v>1.8</v>
          </cell>
        </row>
        <row r="3568">
          <cell r="B3568" t="str">
            <v>Chandran S</v>
          </cell>
          <cell r="I3568" t="str">
            <v>Correct</v>
          </cell>
          <cell r="J3568">
            <v>1.34</v>
          </cell>
          <cell r="K3568" t="str">
            <v>Low</v>
          </cell>
          <cell r="AB3568">
            <v>1</v>
          </cell>
        </row>
        <row r="3569">
          <cell r="B3569" t="str">
            <v>Chandran S</v>
          </cell>
          <cell r="I3569" t="str">
            <v>Wrong</v>
          </cell>
          <cell r="J3569">
            <v>1.92</v>
          </cell>
          <cell r="K3569" t="str">
            <v>Low</v>
          </cell>
          <cell r="AB3569">
            <v>0</v>
          </cell>
        </row>
        <row r="3570">
          <cell r="B3570" t="str">
            <v>Chandran S</v>
          </cell>
          <cell r="I3570" t="str">
            <v>Correct</v>
          </cell>
          <cell r="J3570">
            <v>1.46</v>
          </cell>
          <cell r="K3570" t="str">
            <v>Low</v>
          </cell>
          <cell r="AB3570">
            <v>2</v>
          </cell>
        </row>
        <row r="3571">
          <cell r="B3571" t="str">
            <v>Chandran S</v>
          </cell>
          <cell r="I3571" t="str">
            <v>Wrong</v>
          </cell>
          <cell r="J3571">
            <v>1.79</v>
          </cell>
          <cell r="K3571" t="str">
            <v>Medium</v>
          </cell>
          <cell r="AB3571">
            <v>0</v>
          </cell>
        </row>
        <row r="3572">
          <cell r="B3572" t="str">
            <v>Chandran S</v>
          </cell>
          <cell r="I3572" t="str">
            <v>Correct</v>
          </cell>
          <cell r="J3572">
            <v>1.94</v>
          </cell>
          <cell r="K3572" t="str">
            <v>Medium</v>
          </cell>
          <cell r="AB3572">
            <v>1.86</v>
          </cell>
        </row>
        <row r="3573">
          <cell r="B3573" t="str">
            <v>Chandran S</v>
          </cell>
          <cell r="I3573" t="str">
            <v>Correct</v>
          </cell>
          <cell r="J3573">
            <v>2.21</v>
          </cell>
          <cell r="K3573" t="str">
            <v>Medium</v>
          </cell>
          <cell r="AB3573">
            <v>1.63</v>
          </cell>
        </row>
        <row r="3574">
          <cell r="B3574" t="str">
            <v>Chandran S</v>
          </cell>
          <cell r="I3574" t="str">
            <v>Correct</v>
          </cell>
          <cell r="J3574">
            <v>2.1</v>
          </cell>
          <cell r="K3574" t="str">
            <v>Medium</v>
          </cell>
          <cell r="AB3574">
            <v>1.71</v>
          </cell>
        </row>
        <row r="3575">
          <cell r="B3575" t="str">
            <v>Chandran S</v>
          </cell>
          <cell r="I3575" t="str">
            <v>Correct</v>
          </cell>
          <cell r="J3575">
            <v>1.25</v>
          </cell>
          <cell r="K3575" t="str">
            <v>Medium</v>
          </cell>
          <cell r="AB3575">
            <v>2</v>
          </cell>
        </row>
        <row r="3576">
          <cell r="B3576" t="str">
            <v>Chandran S</v>
          </cell>
          <cell r="I3576" t="str">
            <v>Correct</v>
          </cell>
          <cell r="J3576">
            <v>1.53</v>
          </cell>
          <cell r="K3576" t="str">
            <v>Medium</v>
          </cell>
          <cell r="AB3576">
            <v>2</v>
          </cell>
        </row>
        <row r="3577">
          <cell r="B3577" t="str">
            <v>Chandran S</v>
          </cell>
          <cell r="I3577" t="str">
            <v>Wrong</v>
          </cell>
          <cell r="J3577">
            <v>2.2999999999999998</v>
          </cell>
          <cell r="K3577" t="str">
            <v>High</v>
          </cell>
          <cell r="AB3577">
            <v>0</v>
          </cell>
        </row>
        <row r="3578">
          <cell r="B3578" t="str">
            <v>Chandran S</v>
          </cell>
          <cell r="I3578" t="str">
            <v>Wrong</v>
          </cell>
          <cell r="J3578">
            <v>2.0499999999999998</v>
          </cell>
          <cell r="K3578" t="str">
            <v>High</v>
          </cell>
          <cell r="AB3578">
            <v>0</v>
          </cell>
        </row>
        <row r="3579">
          <cell r="B3579" t="str">
            <v>Chandran S</v>
          </cell>
          <cell r="I3579" t="str">
            <v>Correct</v>
          </cell>
          <cell r="J3579">
            <v>1.93</v>
          </cell>
          <cell r="K3579" t="str">
            <v>High</v>
          </cell>
          <cell r="AB3579">
            <v>3</v>
          </cell>
        </row>
        <row r="3580">
          <cell r="B3580" t="str">
            <v>Chandran S</v>
          </cell>
          <cell r="I3580" t="str">
            <v>Wrong</v>
          </cell>
          <cell r="J3580">
            <v>1.93</v>
          </cell>
          <cell r="K3580" t="str">
            <v>High</v>
          </cell>
          <cell r="AB3580">
            <v>0</v>
          </cell>
        </row>
        <row r="3581">
          <cell r="B3581" t="str">
            <v>Chandran S</v>
          </cell>
          <cell r="I3581" t="str">
            <v>Wrong</v>
          </cell>
          <cell r="J3581">
            <v>2.42</v>
          </cell>
          <cell r="K3581" t="str">
            <v>High</v>
          </cell>
          <cell r="AB3581">
            <v>0</v>
          </cell>
        </row>
        <row r="3582">
          <cell r="B3582" t="str">
            <v>Devi Priya</v>
          </cell>
          <cell r="I3582" t="str">
            <v>Correct</v>
          </cell>
          <cell r="J3582">
            <v>1.66</v>
          </cell>
          <cell r="K3582" t="str">
            <v>Low</v>
          </cell>
          <cell r="AB3582">
            <v>1.81</v>
          </cell>
        </row>
        <row r="3583">
          <cell r="B3583" t="str">
            <v>Devi Priya</v>
          </cell>
          <cell r="I3583" t="str">
            <v>Correct</v>
          </cell>
          <cell r="J3583">
            <v>1.2</v>
          </cell>
          <cell r="K3583" t="str">
            <v>Low</v>
          </cell>
          <cell r="AB3583">
            <v>1</v>
          </cell>
        </row>
        <row r="3584">
          <cell r="B3584" t="str">
            <v>Devi Priya</v>
          </cell>
          <cell r="I3584" t="str">
            <v>Correct</v>
          </cell>
          <cell r="J3584">
            <v>1.48</v>
          </cell>
          <cell r="K3584" t="str">
            <v>Low</v>
          </cell>
          <cell r="AB3584">
            <v>2</v>
          </cell>
        </row>
        <row r="3585">
          <cell r="B3585" t="str">
            <v>Devi Priya</v>
          </cell>
          <cell r="I3585" t="str">
            <v>Correct</v>
          </cell>
          <cell r="J3585">
            <v>1.54</v>
          </cell>
          <cell r="K3585" t="str">
            <v>Low</v>
          </cell>
          <cell r="AB3585">
            <v>0.97</v>
          </cell>
        </row>
        <row r="3586">
          <cell r="B3586" t="str">
            <v>Devi Priya</v>
          </cell>
          <cell r="I3586" t="str">
            <v>Correct</v>
          </cell>
          <cell r="J3586">
            <v>1.4</v>
          </cell>
          <cell r="K3586" t="str">
            <v>Low</v>
          </cell>
          <cell r="AB3586">
            <v>1</v>
          </cell>
        </row>
        <row r="3587">
          <cell r="B3587" t="str">
            <v>Devi Priya</v>
          </cell>
          <cell r="I3587" t="str">
            <v>Correct</v>
          </cell>
          <cell r="J3587">
            <v>1.03</v>
          </cell>
          <cell r="K3587" t="str">
            <v>Low</v>
          </cell>
          <cell r="AB3587">
            <v>2</v>
          </cell>
        </row>
        <row r="3588">
          <cell r="B3588" t="str">
            <v>Devi Priya</v>
          </cell>
          <cell r="I3588" t="str">
            <v>Wrong</v>
          </cell>
          <cell r="J3588">
            <v>1.29</v>
          </cell>
          <cell r="K3588" t="str">
            <v>Low</v>
          </cell>
          <cell r="AB3588">
            <v>0</v>
          </cell>
        </row>
        <row r="3589">
          <cell r="B3589" t="str">
            <v>Devi Priya</v>
          </cell>
          <cell r="I3589" t="str">
            <v>Correct</v>
          </cell>
          <cell r="J3589">
            <v>1.34</v>
          </cell>
          <cell r="K3589" t="str">
            <v>Low</v>
          </cell>
          <cell r="AB3589">
            <v>2</v>
          </cell>
        </row>
        <row r="3590">
          <cell r="B3590" t="str">
            <v>Devi Priya</v>
          </cell>
          <cell r="I3590" t="str">
            <v>Correct</v>
          </cell>
          <cell r="J3590">
            <v>1.53</v>
          </cell>
          <cell r="K3590" t="str">
            <v>Low</v>
          </cell>
          <cell r="AB3590">
            <v>1.96</v>
          </cell>
        </row>
        <row r="3591">
          <cell r="B3591" t="str">
            <v>Devi Priya</v>
          </cell>
          <cell r="I3591" t="str">
            <v>Wrong</v>
          </cell>
          <cell r="J3591">
            <v>1.43</v>
          </cell>
          <cell r="K3591" t="str">
            <v>Medium</v>
          </cell>
          <cell r="AB3591">
            <v>0</v>
          </cell>
        </row>
        <row r="3592">
          <cell r="B3592" t="str">
            <v>Devi Priya</v>
          </cell>
          <cell r="I3592" t="str">
            <v>Correct</v>
          </cell>
          <cell r="J3592">
            <v>1.66</v>
          </cell>
          <cell r="K3592" t="str">
            <v>Medium</v>
          </cell>
          <cell r="AB3592">
            <v>2</v>
          </cell>
        </row>
        <row r="3593">
          <cell r="B3593" t="str">
            <v>Devi Priya</v>
          </cell>
          <cell r="I3593" t="str">
            <v>Correct</v>
          </cell>
          <cell r="J3593">
            <v>2.14</v>
          </cell>
          <cell r="K3593" t="str">
            <v>Medium</v>
          </cell>
          <cell r="AB3593">
            <v>1.68</v>
          </cell>
        </row>
        <row r="3594">
          <cell r="B3594" t="str">
            <v>Devi Priya</v>
          </cell>
          <cell r="I3594" t="str">
            <v>Wrong</v>
          </cell>
          <cell r="J3594">
            <v>1.26</v>
          </cell>
          <cell r="K3594" t="str">
            <v>Medium</v>
          </cell>
          <cell r="AB3594">
            <v>0</v>
          </cell>
        </row>
        <row r="3595">
          <cell r="B3595" t="str">
            <v>Devi Priya</v>
          </cell>
          <cell r="I3595" t="str">
            <v>Wrong</v>
          </cell>
          <cell r="J3595">
            <v>2.1800000000000002</v>
          </cell>
          <cell r="K3595" t="str">
            <v>Medium</v>
          </cell>
          <cell r="AB3595">
            <v>0</v>
          </cell>
        </row>
        <row r="3596">
          <cell r="B3596" t="str">
            <v>Devi Priya</v>
          </cell>
          <cell r="I3596" t="str">
            <v>Correct</v>
          </cell>
          <cell r="J3596">
            <v>1.32</v>
          </cell>
          <cell r="K3596" t="str">
            <v>Medium</v>
          </cell>
          <cell r="AB3596">
            <v>2</v>
          </cell>
        </row>
        <row r="3597">
          <cell r="B3597" t="str">
            <v>Devi Priya</v>
          </cell>
          <cell r="I3597" t="str">
            <v>Wrong</v>
          </cell>
          <cell r="J3597">
            <v>1.97</v>
          </cell>
          <cell r="K3597" t="str">
            <v>High</v>
          </cell>
          <cell r="AB3597">
            <v>0</v>
          </cell>
        </row>
        <row r="3598">
          <cell r="B3598" t="str">
            <v>Devi Priya</v>
          </cell>
          <cell r="I3598" t="str">
            <v>Wrong</v>
          </cell>
          <cell r="J3598">
            <v>1.5</v>
          </cell>
          <cell r="K3598" t="str">
            <v>High</v>
          </cell>
          <cell r="AB3598">
            <v>0</v>
          </cell>
        </row>
        <row r="3599">
          <cell r="B3599" t="str">
            <v>Devi Priya</v>
          </cell>
          <cell r="I3599" t="str">
            <v>Correct</v>
          </cell>
          <cell r="J3599">
            <v>1.41</v>
          </cell>
          <cell r="K3599" t="str">
            <v>High</v>
          </cell>
          <cell r="AB3599">
            <v>3</v>
          </cell>
        </row>
        <row r="3600">
          <cell r="B3600" t="str">
            <v>Devi Priya</v>
          </cell>
          <cell r="I3600" t="str">
            <v>Wrong</v>
          </cell>
          <cell r="J3600">
            <v>1.94</v>
          </cell>
          <cell r="K3600" t="str">
            <v>High</v>
          </cell>
          <cell r="AB3600">
            <v>0</v>
          </cell>
        </row>
        <row r="3601">
          <cell r="B3601" t="str">
            <v>Devi Priya</v>
          </cell>
          <cell r="I3601" t="str">
            <v>Wrong</v>
          </cell>
          <cell r="J3601">
            <v>1.28</v>
          </cell>
          <cell r="K3601" t="str">
            <v>High</v>
          </cell>
          <cell r="AB3601">
            <v>0</v>
          </cell>
        </row>
        <row r="3602">
          <cell r="B3602" t="str">
            <v>Elavarasan M</v>
          </cell>
          <cell r="I3602" t="str">
            <v>Correct</v>
          </cell>
          <cell r="J3602">
            <v>0.95</v>
          </cell>
          <cell r="K3602" t="str">
            <v>Low</v>
          </cell>
          <cell r="AB3602">
            <v>2</v>
          </cell>
        </row>
        <row r="3603">
          <cell r="B3603" t="str">
            <v>Elavarasan M</v>
          </cell>
          <cell r="I3603" t="str">
            <v>Correct</v>
          </cell>
          <cell r="J3603">
            <v>1.51</v>
          </cell>
          <cell r="K3603" t="str">
            <v>Low</v>
          </cell>
          <cell r="AB3603">
            <v>0.99</v>
          </cell>
        </row>
        <row r="3604">
          <cell r="B3604" t="str">
            <v>Elavarasan M</v>
          </cell>
          <cell r="I3604" t="str">
            <v>Correct</v>
          </cell>
          <cell r="J3604">
            <v>1.18</v>
          </cell>
          <cell r="K3604" t="str">
            <v>Low</v>
          </cell>
          <cell r="AB3604">
            <v>2</v>
          </cell>
        </row>
        <row r="3605">
          <cell r="B3605" t="str">
            <v>Elavarasan M</v>
          </cell>
          <cell r="I3605" t="str">
            <v>Wrong</v>
          </cell>
          <cell r="J3605">
            <v>1.81</v>
          </cell>
          <cell r="K3605" t="str">
            <v>Low</v>
          </cell>
          <cell r="AB3605">
            <v>0</v>
          </cell>
        </row>
        <row r="3606">
          <cell r="B3606" t="str">
            <v>Elavarasan M</v>
          </cell>
          <cell r="I3606" t="str">
            <v>Correct</v>
          </cell>
          <cell r="J3606">
            <v>1.92</v>
          </cell>
          <cell r="K3606" t="str">
            <v>Low</v>
          </cell>
          <cell r="AB3606">
            <v>0.78</v>
          </cell>
        </row>
        <row r="3607">
          <cell r="B3607" t="str">
            <v>Elavarasan M</v>
          </cell>
          <cell r="I3607" t="str">
            <v>Correct</v>
          </cell>
          <cell r="J3607">
            <v>1.26</v>
          </cell>
          <cell r="K3607" t="str">
            <v>Low</v>
          </cell>
          <cell r="AB3607">
            <v>2</v>
          </cell>
        </row>
        <row r="3608">
          <cell r="B3608" t="str">
            <v>Elavarasan M</v>
          </cell>
          <cell r="I3608" t="str">
            <v>Correct</v>
          </cell>
          <cell r="J3608">
            <v>1.71</v>
          </cell>
          <cell r="K3608" t="str">
            <v>Low</v>
          </cell>
          <cell r="AB3608">
            <v>0.88</v>
          </cell>
        </row>
        <row r="3609">
          <cell r="B3609" t="str">
            <v>Elavarasan M</v>
          </cell>
          <cell r="I3609" t="str">
            <v>Correct</v>
          </cell>
          <cell r="J3609">
            <v>1.93</v>
          </cell>
          <cell r="K3609" t="str">
            <v>Low</v>
          </cell>
          <cell r="AB3609">
            <v>1.55</v>
          </cell>
        </row>
        <row r="3610">
          <cell r="B3610" t="str">
            <v>Elavarasan M</v>
          </cell>
          <cell r="I3610" t="str">
            <v>Correct</v>
          </cell>
          <cell r="J3610">
            <v>1.29</v>
          </cell>
          <cell r="K3610" t="str">
            <v>Low</v>
          </cell>
          <cell r="AB3610">
            <v>2</v>
          </cell>
        </row>
        <row r="3611">
          <cell r="B3611" t="str">
            <v>Elavarasan M</v>
          </cell>
          <cell r="I3611" t="str">
            <v>Correct</v>
          </cell>
          <cell r="J3611">
            <v>1.1399999999999999</v>
          </cell>
          <cell r="K3611" t="str">
            <v>Medium</v>
          </cell>
          <cell r="AB3611">
            <v>2</v>
          </cell>
        </row>
        <row r="3612">
          <cell r="B3612" t="str">
            <v>Elavarasan M</v>
          </cell>
          <cell r="I3612" t="str">
            <v>Wrong</v>
          </cell>
          <cell r="J3612">
            <v>1.1200000000000001</v>
          </cell>
          <cell r="K3612" t="str">
            <v>Medium</v>
          </cell>
          <cell r="AB3612">
            <v>0</v>
          </cell>
        </row>
        <row r="3613">
          <cell r="B3613" t="str">
            <v>Elavarasan M</v>
          </cell>
          <cell r="I3613" t="str">
            <v>Correct</v>
          </cell>
          <cell r="J3613">
            <v>1.68</v>
          </cell>
          <cell r="K3613" t="str">
            <v>Medium</v>
          </cell>
          <cell r="AB3613">
            <v>2</v>
          </cell>
        </row>
        <row r="3614">
          <cell r="B3614" t="str">
            <v>Elavarasan M</v>
          </cell>
          <cell r="I3614" t="str">
            <v>Correct</v>
          </cell>
          <cell r="J3614">
            <v>1.77</v>
          </cell>
          <cell r="K3614" t="str">
            <v>Medium</v>
          </cell>
          <cell r="AB3614">
            <v>2</v>
          </cell>
        </row>
        <row r="3615">
          <cell r="B3615" t="str">
            <v>Elavarasan M</v>
          </cell>
          <cell r="I3615" t="str">
            <v>Correct</v>
          </cell>
          <cell r="J3615">
            <v>2.0099999999999998</v>
          </cell>
          <cell r="K3615" t="str">
            <v>Medium</v>
          </cell>
          <cell r="AB3615">
            <v>1.79</v>
          </cell>
        </row>
        <row r="3616">
          <cell r="B3616" t="str">
            <v>Elavarasan M</v>
          </cell>
          <cell r="I3616" t="str">
            <v>Correct</v>
          </cell>
          <cell r="J3616">
            <v>1.44</v>
          </cell>
          <cell r="K3616" t="str">
            <v>Medium</v>
          </cell>
          <cell r="AB3616">
            <v>2</v>
          </cell>
        </row>
        <row r="3617">
          <cell r="B3617" t="str">
            <v>Elavarasan M</v>
          </cell>
          <cell r="I3617" t="str">
            <v>Wrong</v>
          </cell>
          <cell r="J3617">
            <v>1.21</v>
          </cell>
          <cell r="K3617" t="str">
            <v>High</v>
          </cell>
          <cell r="AB3617">
            <v>0</v>
          </cell>
        </row>
        <row r="3618">
          <cell r="B3618" t="str">
            <v>Elavarasan M</v>
          </cell>
          <cell r="I3618" t="str">
            <v>Correct</v>
          </cell>
          <cell r="J3618">
            <v>1.36</v>
          </cell>
          <cell r="K3618" t="str">
            <v>High</v>
          </cell>
          <cell r="AB3618">
            <v>3</v>
          </cell>
        </row>
        <row r="3619">
          <cell r="B3619" t="str">
            <v>Elavarasan M</v>
          </cell>
          <cell r="I3619" t="str">
            <v>Correct</v>
          </cell>
          <cell r="J3619">
            <v>1.34</v>
          </cell>
          <cell r="K3619" t="str">
            <v>High</v>
          </cell>
          <cell r="AB3619">
            <v>3</v>
          </cell>
        </row>
        <row r="3620">
          <cell r="B3620" t="str">
            <v>Elavarasan M</v>
          </cell>
          <cell r="I3620" t="str">
            <v>Correct</v>
          </cell>
          <cell r="J3620">
            <v>1.67</v>
          </cell>
          <cell r="K3620" t="str">
            <v>High</v>
          </cell>
          <cell r="AB3620">
            <v>3</v>
          </cell>
        </row>
        <row r="3621">
          <cell r="B3621" t="str">
            <v>Elavarasan M</v>
          </cell>
          <cell r="I3621" t="str">
            <v>Correct</v>
          </cell>
          <cell r="J3621">
            <v>2.23</v>
          </cell>
          <cell r="K3621" t="str">
            <v>High</v>
          </cell>
          <cell r="AB3621">
            <v>2.69</v>
          </cell>
        </row>
        <row r="3622">
          <cell r="B3622" t="str">
            <v>Fathima R</v>
          </cell>
          <cell r="I3622" t="str">
            <v>Wrong</v>
          </cell>
          <cell r="J3622">
            <v>1.97</v>
          </cell>
          <cell r="K3622" t="str">
            <v>Low</v>
          </cell>
          <cell r="AB3622">
            <v>0</v>
          </cell>
        </row>
        <row r="3623">
          <cell r="B3623" t="str">
            <v>Fathima R</v>
          </cell>
          <cell r="I3623" t="str">
            <v>Correct</v>
          </cell>
          <cell r="J3623">
            <v>1.41</v>
          </cell>
          <cell r="K3623" t="str">
            <v>Low</v>
          </cell>
          <cell r="AB3623">
            <v>1</v>
          </cell>
        </row>
        <row r="3624">
          <cell r="B3624" t="str">
            <v>Fathima R</v>
          </cell>
          <cell r="I3624" t="str">
            <v>Correct</v>
          </cell>
          <cell r="J3624">
            <v>1.82</v>
          </cell>
          <cell r="K3624" t="str">
            <v>Low</v>
          </cell>
          <cell r="AB3624">
            <v>1.65</v>
          </cell>
        </row>
        <row r="3625">
          <cell r="B3625" t="str">
            <v>Fathima R</v>
          </cell>
          <cell r="I3625" t="str">
            <v>Correct</v>
          </cell>
          <cell r="J3625">
            <v>1.94</v>
          </cell>
          <cell r="K3625" t="str">
            <v>Low</v>
          </cell>
          <cell r="AB3625">
            <v>0.77</v>
          </cell>
        </row>
        <row r="3626">
          <cell r="B3626" t="str">
            <v>Fathima R</v>
          </cell>
          <cell r="I3626" t="str">
            <v>Wrong</v>
          </cell>
          <cell r="J3626">
            <v>1.91</v>
          </cell>
          <cell r="K3626" t="str">
            <v>Low</v>
          </cell>
          <cell r="AB3626">
            <v>0</v>
          </cell>
        </row>
        <row r="3627">
          <cell r="B3627" t="str">
            <v>Fathima R</v>
          </cell>
          <cell r="I3627" t="str">
            <v>Correct</v>
          </cell>
          <cell r="J3627">
            <v>1.96</v>
          </cell>
          <cell r="K3627" t="str">
            <v>Low</v>
          </cell>
          <cell r="AB3627">
            <v>1.53</v>
          </cell>
        </row>
        <row r="3628">
          <cell r="B3628" t="str">
            <v>Fathima R</v>
          </cell>
          <cell r="I3628" t="str">
            <v>Wrong</v>
          </cell>
          <cell r="J3628">
            <v>1.19</v>
          </cell>
          <cell r="K3628" t="str">
            <v>Low</v>
          </cell>
          <cell r="AB3628">
            <v>0</v>
          </cell>
        </row>
        <row r="3629">
          <cell r="B3629" t="str">
            <v>Fathima R</v>
          </cell>
          <cell r="I3629" t="str">
            <v>Correct</v>
          </cell>
          <cell r="J3629">
            <v>1.76</v>
          </cell>
          <cell r="K3629" t="str">
            <v>Low</v>
          </cell>
          <cell r="AB3629">
            <v>1.7</v>
          </cell>
        </row>
        <row r="3630">
          <cell r="B3630" t="str">
            <v>Fathima R</v>
          </cell>
          <cell r="I3630" t="str">
            <v>Correct</v>
          </cell>
          <cell r="J3630">
            <v>1.93</v>
          </cell>
          <cell r="K3630" t="str">
            <v>Low</v>
          </cell>
          <cell r="AB3630">
            <v>1.55</v>
          </cell>
        </row>
        <row r="3631">
          <cell r="B3631" t="str">
            <v>Fathima R</v>
          </cell>
          <cell r="I3631" t="str">
            <v>Correct</v>
          </cell>
          <cell r="J3631">
            <v>1.91</v>
          </cell>
          <cell r="K3631" t="str">
            <v>Medium</v>
          </cell>
          <cell r="AB3631">
            <v>1.88</v>
          </cell>
        </row>
        <row r="3632">
          <cell r="B3632" t="str">
            <v>Fathima R</v>
          </cell>
          <cell r="I3632" t="str">
            <v>Correct</v>
          </cell>
          <cell r="J3632">
            <v>2.2400000000000002</v>
          </cell>
          <cell r="K3632" t="str">
            <v>Medium</v>
          </cell>
          <cell r="AB3632">
            <v>1.61</v>
          </cell>
        </row>
        <row r="3633">
          <cell r="B3633" t="str">
            <v>Fathima R</v>
          </cell>
          <cell r="I3633" t="str">
            <v>Correct</v>
          </cell>
          <cell r="J3633">
            <v>2.17</v>
          </cell>
          <cell r="K3633" t="str">
            <v>Medium</v>
          </cell>
          <cell r="AB3633">
            <v>1.66</v>
          </cell>
        </row>
        <row r="3634">
          <cell r="B3634" t="str">
            <v>Fathima R</v>
          </cell>
          <cell r="I3634" t="str">
            <v>Correct</v>
          </cell>
          <cell r="J3634">
            <v>1.72</v>
          </cell>
          <cell r="K3634" t="str">
            <v>Medium</v>
          </cell>
          <cell r="AB3634">
            <v>2</v>
          </cell>
        </row>
        <row r="3635">
          <cell r="B3635" t="str">
            <v>Fathima R</v>
          </cell>
          <cell r="I3635" t="str">
            <v>Wrong</v>
          </cell>
          <cell r="J3635">
            <v>1.4</v>
          </cell>
          <cell r="K3635" t="str">
            <v>Medium</v>
          </cell>
          <cell r="AB3635">
            <v>0</v>
          </cell>
        </row>
        <row r="3636">
          <cell r="B3636" t="str">
            <v>Fathima R</v>
          </cell>
          <cell r="I3636" t="str">
            <v>Correct</v>
          </cell>
          <cell r="J3636">
            <v>1.26</v>
          </cell>
          <cell r="K3636" t="str">
            <v>Medium</v>
          </cell>
          <cell r="AB3636">
            <v>2</v>
          </cell>
        </row>
        <row r="3637">
          <cell r="B3637" t="str">
            <v>Fathima R</v>
          </cell>
          <cell r="I3637" t="str">
            <v>Wrong</v>
          </cell>
          <cell r="J3637">
            <v>1.4</v>
          </cell>
          <cell r="K3637" t="str">
            <v>High</v>
          </cell>
          <cell r="AB3637">
            <v>0</v>
          </cell>
        </row>
        <row r="3638">
          <cell r="B3638" t="str">
            <v>Fathima R</v>
          </cell>
          <cell r="I3638" t="str">
            <v>Wrong</v>
          </cell>
          <cell r="J3638">
            <v>1.43</v>
          </cell>
          <cell r="K3638" t="str">
            <v>High</v>
          </cell>
          <cell r="AB3638">
            <v>0</v>
          </cell>
        </row>
        <row r="3639">
          <cell r="B3639" t="str">
            <v>Fathima R</v>
          </cell>
          <cell r="I3639" t="str">
            <v>Wrong</v>
          </cell>
          <cell r="J3639">
            <v>2.11</v>
          </cell>
          <cell r="K3639" t="str">
            <v>High</v>
          </cell>
          <cell r="AB3639">
            <v>0</v>
          </cell>
        </row>
        <row r="3640">
          <cell r="B3640" t="str">
            <v>Fathima R</v>
          </cell>
          <cell r="I3640" t="str">
            <v>Wrong</v>
          </cell>
          <cell r="J3640">
            <v>1.99</v>
          </cell>
          <cell r="K3640" t="str">
            <v>High</v>
          </cell>
          <cell r="AB3640">
            <v>0</v>
          </cell>
        </row>
        <row r="3641">
          <cell r="B3641" t="str">
            <v>Fathima R</v>
          </cell>
          <cell r="I3641" t="str">
            <v>Correct</v>
          </cell>
          <cell r="J3641">
            <v>1.65</v>
          </cell>
          <cell r="K3641" t="str">
            <v>High</v>
          </cell>
          <cell r="AB3641">
            <v>3</v>
          </cell>
        </row>
        <row r="3642">
          <cell r="B3642" t="str">
            <v>Gokul Raj</v>
          </cell>
          <cell r="I3642" t="str">
            <v>Correct</v>
          </cell>
          <cell r="J3642">
            <v>1.53</v>
          </cell>
          <cell r="K3642" t="str">
            <v>Low</v>
          </cell>
          <cell r="AB3642">
            <v>1.96</v>
          </cell>
        </row>
        <row r="3643">
          <cell r="B3643" t="str">
            <v>Gokul Raj</v>
          </cell>
          <cell r="I3643" t="str">
            <v>Correct</v>
          </cell>
          <cell r="J3643">
            <v>1.54</v>
          </cell>
          <cell r="K3643" t="str">
            <v>Low</v>
          </cell>
          <cell r="AB3643">
            <v>0.97</v>
          </cell>
        </row>
        <row r="3644">
          <cell r="B3644" t="str">
            <v>Gokul Raj</v>
          </cell>
          <cell r="I3644" t="str">
            <v>Correct</v>
          </cell>
          <cell r="J3644">
            <v>1.41</v>
          </cell>
          <cell r="K3644" t="str">
            <v>Low</v>
          </cell>
          <cell r="AB3644">
            <v>2</v>
          </cell>
        </row>
        <row r="3645">
          <cell r="B3645" t="str">
            <v>Gokul Raj</v>
          </cell>
          <cell r="I3645" t="str">
            <v>Correct</v>
          </cell>
          <cell r="J3645">
            <v>1.9</v>
          </cell>
          <cell r="K3645" t="str">
            <v>Low</v>
          </cell>
          <cell r="AB3645">
            <v>0.79</v>
          </cell>
        </row>
        <row r="3646">
          <cell r="B3646" t="str">
            <v>Gokul Raj</v>
          </cell>
          <cell r="I3646" t="str">
            <v>Correct</v>
          </cell>
          <cell r="J3646">
            <v>1.0900000000000001</v>
          </cell>
          <cell r="K3646" t="str">
            <v>Low</v>
          </cell>
          <cell r="AB3646">
            <v>1</v>
          </cell>
        </row>
        <row r="3647">
          <cell r="B3647" t="str">
            <v>Gokul Raj</v>
          </cell>
          <cell r="I3647" t="str">
            <v>Wrong</v>
          </cell>
          <cell r="J3647">
            <v>1.05</v>
          </cell>
          <cell r="K3647" t="str">
            <v>Low</v>
          </cell>
          <cell r="AB3647">
            <v>0</v>
          </cell>
        </row>
        <row r="3648">
          <cell r="B3648" t="str">
            <v>Gokul Raj</v>
          </cell>
          <cell r="I3648" t="str">
            <v>Correct</v>
          </cell>
          <cell r="J3648">
            <v>1.3</v>
          </cell>
          <cell r="K3648" t="str">
            <v>Low</v>
          </cell>
          <cell r="AB3648">
            <v>1</v>
          </cell>
        </row>
        <row r="3649">
          <cell r="B3649" t="str">
            <v>Gokul Raj</v>
          </cell>
          <cell r="I3649" t="str">
            <v>Correct</v>
          </cell>
          <cell r="J3649">
            <v>1.36</v>
          </cell>
          <cell r="K3649" t="str">
            <v>Low</v>
          </cell>
          <cell r="AB3649">
            <v>2</v>
          </cell>
        </row>
        <row r="3650">
          <cell r="B3650" t="str">
            <v>Gokul Raj</v>
          </cell>
          <cell r="I3650" t="str">
            <v>Correct</v>
          </cell>
          <cell r="J3650">
            <v>1.46</v>
          </cell>
          <cell r="K3650" t="str">
            <v>Low</v>
          </cell>
          <cell r="AB3650">
            <v>2</v>
          </cell>
        </row>
        <row r="3651">
          <cell r="B3651" t="str">
            <v>Gokul Raj</v>
          </cell>
          <cell r="I3651" t="str">
            <v>Correct</v>
          </cell>
          <cell r="J3651">
            <v>2.25</v>
          </cell>
          <cell r="K3651" t="str">
            <v>Medium</v>
          </cell>
          <cell r="AB3651">
            <v>1.6</v>
          </cell>
        </row>
        <row r="3652">
          <cell r="B3652" t="str">
            <v>Gokul Raj</v>
          </cell>
          <cell r="I3652" t="str">
            <v>Correct</v>
          </cell>
          <cell r="J3652">
            <v>1.39</v>
          </cell>
          <cell r="K3652" t="str">
            <v>Medium</v>
          </cell>
          <cell r="AB3652">
            <v>2</v>
          </cell>
        </row>
        <row r="3653">
          <cell r="B3653" t="str">
            <v>Gokul Raj</v>
          </cell>
          <cell r="I3653" t="str">
            <v>Wrong</v>
          </cell>
          <cell r="J3653">
            <v>1.88</v>
          </cell>
          <cell r="K3653" t="str">
            <v>Medium</v>
          </cell>
          <cell r="AB3653">
            <v>0</v>
          </cell>
        </row>
        <row r="3654">
          <cell r="B3654" t="str">
            <v>Gokul Raj</v>
          </cell>
          <cell r="I3654" t="str">
            <v>Correct</v>
          </cell>
          <cell r="J3654">
            <v>1.89</v>
          </cell>
          <cell r="K3654" t="str">
            <v>Medium</v>
          </cell>
          <cell r="AB3654">
            <v>1.9</v>
          </cell>
        </row>
        <row r="3655">
          <cell r="B3655" t="str">
            <v>Gokul Raj</v>
          </cell>
          <cell r="I3655" t="str">
            <v>Wrong</v>
          </cell>
          <cell r="J3655">
            <v>1.71</v>
          </cell>
          <cell r="K3655" t="str">
            <v>Medium</v>
          </cell>
          <cell r="AB3655">
            <v>0</v>
          </cell>
        </row>
        <row r="3656">
          <cell r="B3656" t="str">
            <v>Gokul Raj</v>
          </cell>
          <cell r="I3656" t="str">
            <v>Wrong</v>
          </cell>
          <cell r="J3656">
            <v>1.76</v>
          </cell>
          <cell r="K3656" t="str">
            <v>Medium</v>
          </cell>
          <cell r="AB3656">
            <v>0</v>
          </cell>
        </row>
        <row r="3657">
          <cell r="B3657" t="str">
            <v>Gokul Raj</v>
          </cell>
          <cell r="I3657" t="str">
            <v>Correct</v>
          </cell>
          <cell r="J3657">
            <v>2.31</v>
          </cell>
          <cell r="K3657" t="str">
            <v>High</v>
          </cell>
          <cell r="AB3657">
            <v>2.6</v>
          </cell>
        </row>
        <row r="3658">
          <cell r="B3658" t="str">
            <v>Gokul Raj</v>
          </cell>
          <cell r="I3658" t="str">
            <v>Correct</v>
          </cell>
          <cell r="J3658">
            <v>1.61</v>
          </cell>
          <cell r="K3658" t="str">
            <v>High</v>
          </cell>
          <cell r="AB3658">
            <v>3</v>
          </cell>
        </row>
        <row r="3659">
          <cell r="B3659" t="str">
            <v>Gokul Raj</v>
          </cell>
          <cell r="I3659" t="str">
            <v>Correct</v>
          </cell>
          <cell r="J3659">
            <v>2.42</v>
          </cell>
          <cell r="K3659" t="str">
            <v>High</v>
          </cell>
          <cell r="AB3659">
            <v>2.48</v>
          </cell>
        </row>
        <row r="3660">
          <cell r="B3660" t="str">
            <v>Gokul Raj</v>
          </cell>
          <cell r="I3660" t="str">
            <v>Wrong</v>
          </cell>
          <cell r="J3660">
            <v>1.74</v>
          </cell>
          <cell r="K3660" t="str">
            <v>High</v>
          </cell>
          <cell r="AB3660">
            <v>0</v>
          </cell>
        </row>
        <row r="3661">
          <cell r="B3661" t="str">
            <v>Gokul Raj</v>
          </cell>
          <cell r="I3661" t="str">
            <v>Correct</v>
          </cell>
          <cell r="J3661">
            <v>1.62</v>
          </cell>
          <cell r="K3661" t="str">
            <v>High</v>
          </cell>
          <cell r="AB3661">
            <v>3</v>
          </cell>
        </row>
        <row r="3662">
          <cell r="B3662" t="str">
            <v>Indirani S</v>
          </cell>
          <cell r="I3662" t="str">
            <v>Correct</v>
          </cell>
          <cell r="J3662">
            <v>1.88</v>
          </cell>
          <cell r="K3662" t="str">
            <v>Low</v>
          </cell>
          <cell r="AB3662">
            <v>1.6</v>
          </cell>
        </row>
        <row r="3663">
          <cell r="B3663" t="str">
            <v>Indirani S</v>
          </cell>
          <cell r="I3663" t="str">
            <v>Correct</v>
          </cell>
          <cell r="J3663">
            <v>1.24</v>
          </cell>
          <cell r="K3663" t="str">
            <v>Low</v>
          </cell>
          <cell r="AB3663">
            <v>1</v>
          </cell>
        </row>
        <row r="3664">
          <cell r="B3664" t="str">
            <v>Indirani S</v>
          </cell>
          <cell r="I3664" t="str">
            <v>Correct</v>
          </cell>
          <cell r="J3664">
            <v>1.1000000000000001</v>
          </cell>
          <cell r="K3664" t="str">
            <v>Low</v>
          </cell>
          <cell r="AB3664">
            <v>2</v>
          </cell>
        </row>
        <row r="3665">
          <cell r="B3665" t="str">
            <v>Indirani S</v>
          </cell>
          <cell r="I3665" t="str">
            <v>Correct</v>
          </cell>
          <cell r="J3665">
            <v>1.57</v>
          </cell>
          <cell r="K3665" t="str">
            <v>Low</v>
          </cell>
          <cell r="AB3665">
            <v>0.96</v>
          </cell>
        </row>
        <row r="3666">
          <cell r="B3666" t="str">
            <v>Indirani S</v>
          </cell>
          <cell r="I3666" t="str">
            <v>Correct</v>
          </cell>
          <cell r="J3666">
            <v>1.82</v>
          </cell>
          <cell r="K3666" t="str">
            <v>Low</v>
          </cell>
          <cell r="AB3666">
            <v>0.82</v>
          </cell>
        </row>
        <row r="3667">
          <cell r="B3667" t="str">
            <v>Indirani S</v>
          </cell>
          <cell r="I3667" t="str">
            <v>Correct</v>
          </cell>
          <cell r="J3667">
            <v>1.1299999999999999</v>
          </cell>
          <cell r="K3667" t="str">
            <v>Low</v>
          </cell>
          <cell r="AB3667">
            <v>2</v>
          </cell>
        </row>
        <row r="3668">
          <cell r="B3668" t="str">
            <v>Indirani S</v>
          </cell>
          <cell r="I3668" t="str">
            <v>Wrong</v>
          </cell>
          <cell r="J3668">
            <v>1.61</v>
          </cell>
          <cell r="K3668" t="str">
            <v>Low</v>
          </cell>
          <cell r="AB3668">
            <v>0</v>
          </cell>
        </row>
        <row r="3669">
          <cell r="B3669" t="str">
            <v>Indirani S</v>
          </cell>
          <cell r="I3669" t="str">
            <v>Correct</v>
          </cell>
          <cell r="J3669">
            <v>1.54</v>
          </cell>
          <cell r="K3669" t="str">
            <v>Low</v>
          </cell>
          <cell r="AB3669">
            <v>1.95</v>
          </cell>
        </row>
        <row r="3670">
          <cell r="B3670" t="str">
            <v>Indirani S</v>
          </cell>
          <cell r="I3670" t="str">
            <v>Correct</v>
          </cell>
          <cell r="J3670">
            <v>1.04</v>
          </cell>
          <cell r="K3670" t="str">
            <v>Low</v>
          </cell>
          <cell r="AB3670">
            <v>2</v>
          </cell>
        </row>
        <row r="3671">
          <cell r="B3671" t="str">
            <v>Indirani S</v>
          </cell>
          <cell r="I3671" t="str">
            <v>Wrong</v>
          </cell>
          <cell r="J3671">
            <v>1.78</v>
          </cell>
          <cell r="K3671" t="str">
            <v>Medium</v>
          </cell>
          <cell r="AB3671">
            <v>0</v>
          </cell>
        </row>
        <row r="3672">
          <cell r="B3672" t="str">
            <v>Indirani S</v>
          </cell>
          <cell r="I3672" t="str">
            <v>Correct</v>
          </cell>
          <cell r="J3672">
            <v>1.77</v>
          </cell>
          <cell r="K3672" t="str">
            <v>Medium</v>
          </cell>
          <cell r="AB3672">
            <v>2</v>
          </cell>
        </row>
        <row r="3673">
          <cell r="B3673" t="str">
            <v>Indirani S</v>
          </cell>
          <cell r="I3673" t="str">
            <v>Correct</v>
          </cell>
          <cell r="J3673">
            <v>1.93</v>
          </cell>
          <cell r="K3673" t="str">
            <v>Medium</v>
          </cell>
          <cell r="AB3673">
            <v>1.87</v>
          </cell>
        </row>
        <row r="3674">
          <cell r="B3674" t="str">
            <v>Indirani S</v>
          </cell>
          <cell r="I3674" t="str">
            <v>Correct</v>
          </cell>
          <cell r="J3674">
            <v>1.1100000000000001</v>
          </cell>
          <cell r="K3674" t="str">
            <v>Medium</v>
          </cell>
          <cell r="AB3674">
            <v>2</v>
          </cell>
        </row>
        <row r="3675">
          <cell r="B3675" t="str">
            <v>Indirani S</v>
          </cell>
          <cell r="I3675" t="str">
            <v>Correct</v>
          </cell>
          <cell r="J3675">
            <v>1.35</v>
          </cell>
          <cell r="K3675" t="str">
            <v>Medium</v>
          </cell>
          <cell r="AB3675">
            <v>2</v>
          </cell>
        </row>
        <row r="3676">
          <cell r="B3676" t="str">
            <v>Indirani S</v>
          </cell>
          <cell r="I3676" t="str">
            <v>Correct</v>
          </cell>
          <cell r="J3676">
            <v>1.4</v>
          </cell>
          <cell r="K3676" t="str">
            <v>Medium</v>
          </cell>
          <cell r="AB3676">
            <v>2</v>
          </cell>
        </row>
        <row r="3677">
          <cell r="B3677" t="str">
            <v>Indirani S</v>
          </cell>
          <cell r="I3677" t="str">
            <v>Wrong</v>
          </cell>
          <cell r="J3677">
            <v>1.52</v>
          </cell>
          <cell r="K3677" t="str">
            <v>High</v>
          </cell>
          <cell r="AB3677">
            <v>0</v>
          </cell>
        </row>
        <row r="3678">
          <cell r="B3678" t="str">
            <v>Indirani S</v>
          </cell>
          <cell r="I3678" t="str">
            <v>Correct</v>
          </cell>
          <cell r="J3678">
            <v>2.25</v>
          </cell>
          <cell r="K3678" t="str">
            <v>High</v>
          </cell>
          <cell r="AB3678">
            <v>2.67</v>
          </cell>
        </row>
        <row r="3679">
          <cell r="B3679" t="str">
            <v>Indirani S</v>
          </cell>
          <cell r="I3679" t="str">
            <v>Wrong</v>
          </cell>
          <cell r="J3679">
            <v>1.77</v>
          </cell>
          <cell r="K3679" t="str">
            <v>High</v>
          </cell>
          <cell r="AB3679">
            <v>0</v>
          </cell>
        </row>
        <row r="3680">
          <cell r="B3680" t="str">
            <v>Indirani S</v>
          </cell>
          <cell r="I3680" t="str">
            <v>Correct</v>
          </cell>
          <cell r="J3680">
            <v>2.4500000000000002</v>
          </cell>
          <cell r="K3680" t="str">
            <v>High</v>
          </cell>
          <cell r="AB3680">
            <v>2.4500000000000002</v>
          </cell>
        </row>
        <row r="3681">
          <cell r="B3681" t="str">
            <v>Indirani S</v>
          </cell>
          <cell r="I3681" t="str">
            <v>Correct</v>
          </cell>
          <cell r="J3681">
            <v>1.33</v>
          </cell>
          <cell r="K3681" t="str">
            <v>High</v>
          </cell>
          <cell r="AB3681">
            <v>3</v>
          </cell>
        </row>
        <row r="3682">
          <cell r="B3682" t="str">
            <v>Jeevitha M</v>
          </cell>
          <cell r="I3682" t="str">
            <v>Correct</v>
          </cell>
          <cell r="J3682">
            <v>1.91</v>
          </cell>
          <cell r="K3682" t="str">
            <v>Low</v>
          </cell>
          <cell r="AB3682">
            <v>1.57</v>
          </cell>
        </row>
        <row r="3683">
          <cell r="B3683" t="str">
            <v>Jeevitha M</v>
          </cell>
          <cell r="I3683" t="str">
            <v>Correct</v>
          </cell>
          <cell r="J3683">
            <v>1.58</v>
          </cell>
          <cell r="K3683" t="str">
            <v>Low</v>
          </cell>
          <cell r="AB3683">
            <v>0.95</v>
          </cell>
        </row>
        <row r="3684">
          <cell r="B3684" t="str">
            <v>Jeevitha M</v>
          </cell>
          <cell r="I3684" t="str">
            <v>Wrong</v>
          </cell>
          <cell r="J3684">
            <v>1.69</v>
          </cell>
          <cell r="K3684" t="str">
            <v>Low</v>
          </cell>
          <cell r="AB3684">
            <v>0</v>
          </cell>
        </row>
        <row r="3685">
          <cell r="B3685" t="str">
            <v>Jeevitha M</v>
          </cell>
          <cell r="I3685" t="str">
            <v>Correct</v>
          </cell>
          <cell r="J3685">
            <v>1.51</v>
          </cell>
          <cell r="K3685" t="str">
            <v>Low</v>
          </cell>
          <cell r="AB3685">
            <v>0.99</v>
          </cell>
        </row>
        <row r="3686">
          <cell r="B3686" t="str">
            <v>Jeevitha M</v>
          </cell>
          <cell r="I3686" t="str">
            <v>Correct</v>
          </cell>
          <cell r="J3686">
            <v>1.97</v>
          </cell>
          <cell r="K3686" t="str">
            <v>Low</v>
          </cell>
          <cell r="AB3686">
            <v>0.76</v>
          </cell>
        </row>
        <row r="3687">
          <cell r="B3687" t="str">
            <v>Jeevitha M</v>
          </cell>
          <cell r="I3687" t="str">
            <v>Correct</v>
          </cell>
          <cell r="J3687">
            <v>1.28</v>
          </cell>
          <cell r="K3687" t="str">
            <v>Low</v>
          </cell>
          <cell r="AB3687">
            <v>2</v>
          </cell>
        </row>
        <row r="3688">
          <cell r="B3688" t="str">
            <v>Jeevitha M</v>
          </cell>
          <cell r="I3688" t="str">
            <v>Correct</v>
          </cell>
          <cell r="J3688">
            <v>1.1399999999999999</v>
          </cell>
          <cell r="K3688" t="str">
            <v>Low</v>
          </cell>
          <cell r="AB3688">
            <v>1</v>
          </cell>
        </row>
        <row r="3689">
          <cell r="B3689" t="str">
            <v>Jeevitha M</v>
          </cell>
          <cell r="I3689" t="str">
            <v>Correct</v>
          </cell>
          <cell r="J3689">
            <v>1.23</v>
          </cell>
          <cell r="K3689" t="str">
            <v>Low</v>
          </cell>
          <cell r="AB3689">
            <v>2</v>
          </cell>
        </row>
        <row r="3690">
          <cell r="B3690" t="str">
            <v>Jeevitha M</v>
          </cell>
          <cell r="I3690" t="str">
            <v>Correct</v>
          </cell>
          <cell r="J3690">
            <v>1.79</v>
          </cell>
          <cell r="K3690" t="str">
            <v>Low</v>
          </cell>
          <cell r="AB3690">
            <v>1.68</v>
          </cell>
        </row>
        <row r="3691">
          <cell r="B3691" t="str">
            <v>Jeevitha M</v>
          </cell>
          <cell r="I3691" t="str">
            <v>Correct</v>
          </cell>
          <cell r="J3691">
            <v>1.7</v>
          </cell>
          <cell r="K3691" t="str">
            <v>Medium</v>
          </cell>
          <cell r="AB3691">
            <v>2</v>
          </cell>
        </row>
        <row r="3692">
          <cell r="B3692" t="str">
            <v>Jeevitha M</v>
          </cell>
          <cell r="I3692" t="str">
            <v>Correct</v>
          </cell>
          <cell r="J3692">
            <v>1.95</v>
          </cell>
          <cell r="K3692" t="str">
            <v>Medium</v>
          </cell>
          <cell r="AB3692">
            <v>1.85</v>
          </cell>
        </row>
        <row r="3693">
          <cell r="B3693" t="str">
            <v>Jeevitha M</v>
          </cell>
          <cell r="I3693" t="str">
            <v>Correct</v>
          </cell>
          <cell r="J3693">
            <v>1.1299999999999999</v>
          </cell>
          <cell r="K3693" t="str">
            <v>Medium</v>
          </cell>
          <cell r="AB3693">
            <v>2</v>
          </cell>
        </row>
        <row r="3694">
          <cell r="B3694" t="str">
            <v>Jeevitha M</v>
          </cell>
          <cell r="I3694" t="str">
            <v>Wrong</v>
          </cell>
          <cell r="J3694">
            <v>1.75</v>
          </cell>
          <cell r="K3694" t="str">
            <v>Medium</v>
          </cell>
          <cell r="AB3694">
            <v>0</v>
          </cell>
        </row>
        <row r="3695">
          <cell r="B3695" t="str">
            <v>Jeevitha M</v>
          </cell>
          <cell r="I3695" t="str">
            <v>Correct</v>
          </cell>
          <cell r="J3695">
            <v>2.06</v>
          </cell>
          <cell r="K3695" t="str">
            <v>Medium</v>
          </cell>
          <cell r="AB3695">
            <v>1.75</v>
          </cell>
        </row>
        <row r="3696">
          <cell r="B3696" t="str">
            <v>Jeevitha M</v>
          </cell>
          <cell r="I3696" t="str">
            <v>Correct</v>
          </cell>
          <cell r="J3696">
            <v>1.62</v>
          </cell>
          <cell r="K3696" t="str">
            <v>Medium</v>
          </cell>
          <cell r="AB3696">
            <v>2</v>
          </cell>
        </row>
        <row r="3697">
          <cell r="B3697" t="str">
            <v>Jeevitha M</v>
          </cell>
          <cell r="I3697" t="str">
            <v>Wrong</v>
          </cell>
          <cell r="J3697">
            <v>1.91</v>
          </cell>
          <cell r="K3697" t="str">
            <v>High</v>
          </cell>
          <cell r="AB3697">
            <v>0</v>
          </cell>
        </row>
        <row r="3698">
          <cell r="B3698" t="str">
            <v>Jeevitha M</v>
          </cell>
          <cell r="I3698" t="str">
            <v>Correct</v>
          </cell>
          <cell r="J3698">
            <v>2.15</v>
          </cell>
          <cell r="K3698" t="str">
            <v>High</v>
          </cell>
          <cell r="AB3698">
            <v>2.79</v>
          </cell>
        </row>
        <row r="3699">
          <cell r="B3699" t="str">
            <v>Jeevitha M</v>
          </cell>
          <cell r="I3699" t="str">
            <v>Correct</v>
          </cell>
          <cell r="J3699">
            <v>1.31</v>
          </cell>
          <cell r="K3699" t="str">
            <v>High</v>
          </cell>
          <cell r="AB3699">
            <v>3</v>
          </cell>
        </row>
        <row r="3700">
          <cell r="B3700" t="str">
            <v>Jeevitha M</v>
          </cell>
          <cell r="I3700" t="str">
            <v>Wrong</v>
          </cell>
          <cell r="J3700">
            <v>1.51</v>
          </cell>
          <cell r="K3700" t="str">
            <v>High</v>
          </cell>
          <cell r="AB3700">
            <v>0</v>
          </cell>
        </row>
        <row r="3701">
          <cell r="B3701" t="str">
            <v>Jeevitha M</v>
          </cell>
          <cell r="I3701" t="str">
            <v>Wrong</v>
          </cell>
          <cell r="J3701">
            <v>1.36</v>
          </cell>
          <cell r="K3701" t="str">
            <v>High</v>
          </cell>
          <cell r="AB3701">
            <v>0</v>
          </cell>
        </row>
        <row r="3702">
          <cell r="B3702" t="str">
            <v>Kamal Hassan</v>
          </cell>
          <cell r="I3702" t="str">
            <v>Correct</v>
          </cell>
          <cell r="J3702">
            <v>1.27</v>
          </cell>
          <cell r="K3702" t="str">
            <v>Low</v>
          </cell>
          <cell r="AB3702">
            <v>2</v>
          </cell>
        </row>
        <row r="3703">
          <cell r="B3703" t="str">
            <v>Kamal Hassan</v>
          </cell>
          <cell r="I3703" t="str">
            <v>Correct</v>
          </cell>
          <cell r="J3703">
            <v>1.36</v>
          </cell>
          <cell r="K3703" t="str">
            <v>Low</v>
          </cell>
          <cell r="AB3703">
            <v>1</v>
          </cell>
        </row>
        <row r="3704">
          <cell r="B3704" t="str">
            <v>Kamal Hassan</v>
          </cell>
          <cell r="I3704" t="str">
            <v>Correct</v>
          </cell>
          <cell r="J3704">
            <v>1.97</v>
          </cell>
          <cell r="K3704" t="str">
            <v>Low</v>
          </cell>
          <cell r="AB3704">
            <v>1.52</v>
          </cell>
        </row>
        <row r="3705">
          <cell r="B3705" t="str">
            <v>Kamal Hassan</v>
          </cell>
          <cell r="I3705" t="str">
            <v>Correct</v>
          </cell>
          <cell r="J3705">
            <v>1.98</v>
          </cell>
          <cell r="K3705" t="str">
            <v>Low</v>
          </cell>
          <cell r="AB3705">
            <v>0.76</v>
          </cell>
        </row>
        <row r="3706">
          <cell r="B3706" t="str">
            <v>Kamal Hassan</v>
          </cell>
          <cell r="I3706" t="str">
            <v>Correct</v>
          </cell>
          <cell r="J3706">
            <v>1.93</v>
          </cell>
          <cell r="K3706" t="str">
            <v>Low</v>
          </cell>
          <cell r="AB3706">
            <v>0.78</v>
          </cell>
        </row>
        <row r="3707">
          <cell r="B3707" t="str">
            <v>Kamal Hassan</v>
          </cell>
          <cell r="I3707" t="str">
            <v>Correct</v>
          </cell>
          <cell r="J3707">
            <v>1.03</v>
          </cell>
          <cell r="K3707" t="str">
            <v>Low</v>
          </cell>
          <cell r="AB3707">
            <v>2</v>
          </cell>
        </row>
        <row r="3708">
          <cell r="B3708" t="str">
            <v>Kamal Hassan</v>
          </cell>
          <cell r="I3708" t="str">
            <v>Correct</v>
          </cell>
          <cell r="J3708">
            <v>1.83</v>
          </cell>
          <cell r="K3708" t="str">
            <v>Low</v>
          </cell>
          <cell r="AB3708">
            <v>0.82</v>
          </cell>
        </row>
        <row r="3709">
          <cell r="B3709" t="str">
            <v>Kamal Hassan</v>
          </cell>
          <cell r="I3709" t="str">
            <v>Correct</v>
          </cell>
          <cell r="J3709">
            <v>1.18</v>
          </cell>
          <cell r="K3709" t="str">
            <v>Low</v>
          </cell>
          <cell r="AB3709">
            <v>2</v>
          </cell>
        </row>
        <row r="3710">
          <cell r="B3710" t="str">
            <v>Kamal Hassan</v>
          </cell>
          <cell r="I3710" t="str">
            <v>Wrong</v>
          </cell>
          <cell r="J3710">
            <v>1.19</v>
          </cell>
          <cell r="K3710" t="str">
            <v>Low</v>
          </cell>
          <cell r="AB3710">
            <v>0</v>
          </cell>
        </row>
        <row r="3711">
          <cell r="B3711" t="str">
            <v>Kamal Hassan</v>
          </cell>
          <cell r="I3711" t="str">
            <v>Wrong</v>
          </cell>
          <cell r="J3711">
            <v>1.52</v>
          </cell>
          <cell r="K3711" t="str">
            <v>Medium</v>
          </cell>
          <cell r="AB3711">
            <v>0</v>
          </cell>
        </row>
        <row r="3712">
          <cell r="B3712" t="str">
            <v>Kamal Hassan</v>
          </cell>
          <cell r="I3712" t="str">
            <v>Correct</v>
          </cell>
          <cell r="J3712">
            <v>1.78</v>
          </cell>
          <cell r="K3712" t="str">
            <v>Medium</v>
          </cell>
          <cell r="AB3712">
            <v>2</v>
          </cell>
        </row>
        <row r="3713">
          <cell r="B3713" t="str">
            <v>Kamal Hassan</v>
          </cell>
          <cell r="I3713" t="str">
            <v>Wrong</v>
          </cell>
          <cell r="J3713">
            <v>2.2400000000000002</v>
          </cell>
          <cell r="K3713" t="str">
            <v>Medium</v>
          </cell>
          <cell r="AB3713">
            <v>0</v>
          </cell>
        </row>
        <row r="3714">
          <cell r="B3714" t="str">
            <v>Kamal Hassan</v>
          </cell>
          <cell r="I3714" t="str">
            <v>Wrong</v>
          </cell>
          <cell r="J3714">
            <v>1.43</v>
          </cell>
          <cell r="K3714" t="str">
            <v>Medium</v>
          </cell>
          <cell r="AB3714">
            <v>0</v>
          </cell>
        </row>
        <row r="3715">
          <cell r="B3715" t="str">
            <v>Kamal Hassan</v>
          </cell>
          <cell r="I3715" t="str">
            <v>Wrong</v>
          </cell>
          <cell r="J3715">
            <v>1.9</v>
          </cell>
          <cell r="K3715" t="str">
            <v>Medium</v>
          </cell>
          <cell r="AB3715">
            <v>0</v>
          </cell>
        </row>
        <row r="3716">
          <cell r="B3716" t="str">
            <v>Kamal Hassan</v>
          </cell>
          <cell r="I3716" t="str">
            <v>Correct</v>
          </cell>
          <cell r="J3716">
            <v>1.88</v>
          </cell>
          <cell r="K3716" t="str">
            <v>Medium</v>
          </cell>
          <cell r="AB3716">
            <v>1.91</v>
          </cell>
        </row>
        <row r="3717">
          <cell r="B3717" t="str">
            <v>Kamal Hassan</v>
          </cell>
          <cell r="I3717" t="str">
            <v>Wrong</v>
          </cell>
          <cell r="J3717">
            <v>1.62</v>
          </cell>
          <cell r="K3717" t="str">
            <v>High</v>
          </cell>
          <cell r="AB3717">
            <v>0</v>
          </cell>
        </row>
        <row r="3718">
          <cell r="B3718" t="str">
            <v>Kamal Hassan</v>
          </cell>
          <cell r="I3718" t="str">
            <v>Wrong</v>
          </cell>
          <cell r="J3718">
            <v>2.4300000000000002</v>
          </cell>
          <cell r="K3718" t="str">
            <v>High</v>
          </cell>
          <cell r="AB3718">
            <v>0</v>
          </cell>
        </row>
        <row r="3719">
          <cell r="B3719" t="str">
            <v>Kamal Hassan</v>
          </cell>
          <cell r="I3719" t="str">
            <v>Wrong</v>
          </cell>
          <cell r="J3719">
            <v>1.47</v>
          </cell>
          <cell r="K3719" t="str">
            <v>High</v>
          </cell>
          <cell r="AB3719">
            <v>0</v>
          </cell>
        </row>
        <row r="3720">
          <cell r="B3720" t="str">
            <v>Kamal Hassan</v>
          </cell>
          <cell r="I3720" t="str">
            <v>Correct</v>
          </cell>
          <cell r="J3720">
            <v>1.82</v>
          </cell>
          <cell r="K3720" t="str">
            <v>High</v>
          </cell>
          <cell r="AB3720">
            <v>3</v>
          </cell>
        </row>
        <row r="3721">
          <cell r="B3721" t="str">
            <v>Kamal Hassan</v>
          </cell>
          <cell r="I3721" t="str">
            <v>Correct</v>
          </cell>
          <cell r="J3721">
            <v>2.2999999999999998</v>
          </cell>
          <cell r="K3721" t="str">
            <v>High</v>
          </cell>
          <cell r="AB3721">
            <v>2.61</v>
          </cell>
        </row>
        <row r="3722">
          <cell r="B3722" t="str">
            <v>Malathi Devi</v>
          </cell>
          <cell r="I3722" t="str">
            <v>Correct</v>
          </cell>
          <cell r="J3722">
            <v>1.35</v>
          </cell>
          <cell r="K3722" t="str">
            <v>Low</v>
          </cell>
          <cell r="AB3722">
            <v>2</v>
          </cell>
        </row>
        <row r="3723">
          <cell r="B3723" t="str">
            <v>Malathi Devi</v>
          </cell>
          <cell r="I3723" t="str">
            <v>Correct</v>
          </cell>
          <cell r="J3723">
            <v>0.93</v>
          </cell>
          <cell r="K3723" t="str">
            <v>Low</v>
          </cell>
          <cell r="AB3723">
            <v>1</v>
          </cell>
        </row>
        <row r="3724">
          <cell r="B3724" t="str">
            <v>Malathi Devi</v>
          </cell>
          <cell r="I3724" t="str">
            <v>Correct</v>
          </cell>
          <cell r="J3724">
            <v>1.36</v>
          </cell>
          <cell r="K3724" t="str">
            <v>Low</v>
          </cell>
          <cell r="AB3724">
            <v>2</v>
          </cell>
        </row>
        <row r="3725">
          <cell r="B3725" t="str">
            <v>Malathi Devi</v>
          </cell>
          <cell r="I3725" t="str">
            <v>Correct</v>
          </cell>
          <cell r="J3725">
            <v>1.77</v>
          </cell>
          <cell r="K3725" t="str">
            <v>Low</v>
          </cell>
          <cell r="AB3725">
            <v>0.85</v>
          </cell>
        </row>
        <row r="3726">
          <cell r="B3726" t="str">
            <v>Malathi Devi</v>
          </cell>
          <cell r="I3726" t="str">
            <v>Correct</v>
          </cell>
          <cell r="J3726">
            <v>1.65</v>
          </cell>
          <cell r="K3726" t="str">
            <v>Low</v>
          </cell>
          <cell r="AB3726">
            <v>0.91</v>
          </cell>
        </row>
        <row r="3727">
          <cell r="B3727" t="str">
            <v>Malathi Devi</v>
          </cell>
          <cell r="I3727" t="str">
            <v>Correct</v>
          </cell>
          <cell r="J3727">
            <v>1.65</v>
          </cell>
          <cell r="K3727" t="str">
            <v>Low</v>
          </cell>
          <cell r="AB3727">
            <v>1.82</v>
          </cell>
        </row>
        <row r="3728">
          <cell r="B3728" t="str">
            <v>Malathi Devi</v>
          </cell>
          <cell r="I3728" t="str">
            <v>Correct</v>
          </cell>
          <cell r="J3728">
            <v>1.68</v>
          </cell>
          <cell r="K3728" t="str">
            <v>Low</v>
          </cell>
          <cell r="AB3728">
            <v>0.89</v>
          </cell>
        </row>
        <row r="3729">
          <cell r="B3729" t="str">
            <v>Malathi Devi</v>
          </cell>
          <cell r="I3729" t="str">
            <v>Correct</v>
          </cell>
          <cell r="J3729">
            <v>1.44</v>
          </cell>
          <cell r="K3729" t="str">
            <v>Low</v>
          </cell>
          <cell r="AB3729">
            <v>2</v>
          </cell>
        </row>
        <row r="3730">
          <cell r="B3730" t="str">
            <v>Malathi Devi</v>
          </cell>
          <cell r="I3730" t="str">
            <v>Wrong</v>
          </cell>
          <cell r="J3730">
            <v>1.95</v>
          </cell>
          <cell r="K3730" t="str">
            <v>Low</v>
          </cell>
          <cell r="AB3730">
            <v>0</v>
          </cell>
        </row>
        <row r="3731">
          <cell r="B3731" t="str">
            <v>Malathi Devi</v>
          </cell>
          <cell r="I3731" t="str">
            <v>Correct</v>
          </cell>
          <cell r="J3731">
            <v>1.85</v>
          </cell>
          <cell r="K3731" t="str">
            <v>Medium</v>
          </cell>
          <cell r="AB3731">
            <v>1.95</v>
          </cell>
        </row>
        <row r="3732">
          <cell r="B3732" t="str">
            <v>Malathi Devi</v>
          </cell>
          <cell r="I3732" t="str">
            <v>Correct</v>
          </cell>
          <cell r="J3732">
            <v>1.77</v>
          </cell>
          <cell r="K3732" t="str">
            <v>Medium</v>
          </cell>
          <cell r="AB3732">
            <v>2</v>
          </cell>
        </row>
        <row r="3733">
          <cell r="B3733" t="str">
            <v>Malathi Devi</v>
          </cell>
          <cell r="I3733" t="str">
            <v>Correct</v>
          </cell>
          <cell r="J3733">
            <v>1.52</v>
          </cell>
          <cell r="K3733" t="str">
            <v>Medium</v>
          </cell>
          <cell r="AB3733">
            <v>2</v>
          </cell>
        </row>
        <row r="3734">
          <cell r="B3734" t="str">
            <v>Malathi Devi</v>
          </cell>
          <cell r="I3734" t="str">
            <v>Correct</v>
          </cell>
          <cell r="J3734">
            <v>1.55</v>
          </cell>
          <cell r="K3734" t="str">
            <v>Medium</v>
          </cell>
          <cell r="AB3734">
            <v>2</v>
          </cell>
        </row>
        <row r="3735">
          <cell r="B3735" t="str">
            <v>Malathi Devi</v>
          </cell>
          <cell r="I3735" t="str">
            <v>Correct</v>
          </cell>
          <cell r="J3735">
            <v>1.47</v>
          </cell>
          <cell r="K3735" t="str">
            <v>Medium</v>
          </cell>
          <cell r="AB3735">
            <v>2</v>
          </cell>
        </row>
        <row r="3736">
          <cell r="B3736" t="str">
            <v>Malathi Devi</v>
          </cell>
          <cell r="I3736" t="str">
            <v>Wrong</v>
          </cell>
          <cell r="J3736">
            <v>2.11</v>
          </cell>
          <cell r="K3736" t="str">
            <v>Medium</v>
          </cell>
          <cell r="AB3736">
            <v>0</v>
          </cell>
        </row>
        <row r="3737">
          <cell r="B3737" t="str">
            <v>Malathi Devi</v>
          </cell>
          <cell r="I3737" t="str">
            <v>Correct</v>
          </cell>
          <cell r="J3737">
            <v>1.56</v>
          </cell>
          <cell r="K3737" t="str">
            <v>High</v>
          </cell>
          <cell r="AB3737">
            <v>3</v>
          </cell>
        </row>
        <row r="3738">
          <cell r="B3738" t="str">
            <v>Malathi Devi</v>
          </cell>
          <cell r="I3738" t="str">
            <v>Wrong</v>
          </cell>
          <cell r="J3738">
            <v>1.22</v>
          </cell>
          <cell r="K3738" t="str">
            <v>High</v>
          </cell>
          <cell r="AB3738">
            <v>0</v>
          </cell>
        </row>
        <row r="3739">
          <cell r="B3739" t="str">
            <v>Malathi Devi</v>
          </cell>
          <cell r="I3739" t="str">
            <v>Wrong</v>
          </cell>
          <cell r="J3739">
            <v>1.35</v>
          </cell>
          <cell r="K3739" t="str">
            <v>High</v>
          </cell>
          <cell r="AB3739">
            <v>0</v>
          </cell>
        </row>
        <row r="3740">
          <cell r="B3740" t="str">
            <v>Malathi Devi</v>
          </cell>
          <cell r="I3740" t="str">
            <v>Wrong</v>
          </cell>
          <cell r="J3740">
            <v>2.27</v>
          </cell>
          <cell r="K3740" t="str">
            <v>High</v>
          </cell>
          <cell r="AB3740">
            <v>0</v>
          </cell>
        </row>
        <row r="3741">
          <cell r="B3741" t="str">
            <v>Malathi Devi</v>
          </cell>
          <cell r="I3741" t="str">
            <v>Correct</v>
          </cell>
          <cell r="J3741">
            <v>1.81</v>
          </cell>
          <cell r="K3741" t="str">
            <v>High</v>
          </cell>
          <cell r="AB3741">
            <v>3</v>
          </cell>
        </row>
        <row r="3742">
          <cell r="B3742" t="str">
            <v>Naveen Kumar</v>
          </cell>
          <cell r="I3742" t="str">
            <v>Correct</v>
          </cell>
          <cell r="J3742">
            <v>1.67</v>
          </cell>
          <cell r="K3742" t="str">
            <v>Low</v>
          </cell>
          <cell r="AB3742">
            <v>1.8</v>
          </cell>
        </row>
        <row r="3743">
          <cell r="B3743" t="str">
            <v>Naveen Kumar</v>
          </cell>
          <cell r="I3743" t="str">
            <v>Correct</v>
          </cell>
          <cell r="J3743">
            <v>1.37</v>
          </cell>
          <cell r="K3743" t="str">
            <v>Low</v>
          </cell>
          <cell r="AB3743">
            <v>1</v>
          </cell>
        </row>
        <row r="3744">
          <cell r="B3744" t="str">
            <v>Naveen Kumar</v>
          </cell>
          <cell r="I3744" t="str">
            <v>Correct</v>
          </cell>
          <cell r="J3744">
            <v>1.42</v>
          </cell>
          <cell r="K3744" t="str">
            <v>Low</v>
          </cell>
          <cell r="AB3744">
            <v>2</v>
          </cell>
        </row>
        <row r="3745">
          <cell r="B3745" t="str">
            <v>Naveen Kumar</v>
          </cell>
          <cell r="I3745" t="str">
            <v>Correct</v>
          </cell>
          <cell r="J3745">
            <v>1.97</v>
          </cell>
          <cell r="K3745" t="str">
            <v>Low</v>
          </cell>
          <cell r="AB3745">
            <v>0.76</v>
          </cell>
        </row>
        <row r="3746">
          <cell r="B3746" t="str">
            <v>Naveen Kumar</v>
          </cell>
          <cell r="I3746" t="str">
            <v>Correct</v>
          </cell>
          <cell r="J3746">
            <v>0.98</v>
          </cell>
          <cell r="K3746" t="str">
            <v>Low</v>
          </cell>
          <cell r="AB3746">
            <v>1</v>
          </cell>
        </row>
        <row r="3747">
          <cell r="B3747" t="str">
            <v>Naveen Kumar</v>
          </cell>
          <cell r="I3747" t="str">
            <v>Correct</v>
          </cell>
          <cell r="J3747">
            <v>1.03</v>
          </cell>
          <cell r="K3747" t="str">
            <v>Low</v>
          </cell>
          <cell r="AB3747">
            <v>2</v>
          </cell>
        </row>
        <row r="3748">
          <cell r="B3748" t="str">
            <v>Naveen Kumar</v>
          </cell>
          <cell r="I3748" t="str">
            <v>Correct</v>
          </cell>
          <cell r="J3748">
            <v>1.71</v>
          </cell>
          <cell r="K3748" t="str">
            <v>Low</v>
          </cell>
          <cell r="AB3748">
            <v>0.88</v>
          </cell>
        </row>
        <row r="3749">
          <cell r="B3749" t="str">
            <v>Naveen Kumar</v>
          </cell>
          <cell r="I3749" t="str">
            <v>Correct</v>
          </cell>
          <cell r="J3749">
            <v>0.96</v>
          </cell>
          <cell r="K3749" t="str">
            <v>Low</v>
          </cell>
          <cell r="AB3749">
            <v>2</v>
          </cell>
        </row>
        <row r="3750">
          <cell r="B3750" t="str">
            <v>Naveen Kumar</v>
          </cell>
          <cell r="I3750" t="str">
            <v>Wrong</v>
          </cell>
          <cell r="J3750">
            <v>1.21</v>
          </cell>
          <cell r="K3750" t="str">
            <v>Low</v>
          </cell>
          <cell r="AB3750">
            <v>0</v>
          </cell>
        </row>
        <row r="3751">
          <cell r="B3751" t="str">
            <v>Naveen Kumar</v>
          </cell>
          <cell r="I3751" t="str">
            <v>Wrong</v>
          </cell>
          <cell r="J3751">
            <v>1.95</v>
          </cell>
          <cell r="K3751" t="str">
            <v>Medium</v>
          </cell>
          <cell r="AB3751">
            <v>0</v>
          </cell>
        </row>
        <row r="3752">
          <cell r="B3752" t="str">
            <v>Naveen Kumar</v>
          </cell>
          <cell r="I3752" t="str">
            <v>Correct</v>
          </cell>
          <cell r="J3752">
            <v>2.2200000000000002</v>
          </cell>
          <cell r="K3752" t="str">
            <v>Medium</v>
          </cell>
          <cell r="AB3752">
            <v>1.62</v>
          </cell>
        </row>
        <row r="3753">
          <cell r="B3753" t="str">
            <v>Naveen Kumar</v>
          </cell>
          <cell r="I3753" t="str">
            <v>Wrong</v>
          </cell>
          <cell r="J3753">
            <v>1.51</v>
          </cell>
          <cell r="K3753" t="str">
            <v>Medium</v>
          </cell>
          <cell r="AB3753">
            <v>0</v>
          </cell>
        </row>
        <row r="3754">
          <cell r="B3754" t="str">
            <v>Naveen Kumar</v>
          </cell>
          <cell r="I3754" t="str">
            <v>Wrong</v>
          </cell>
          <cell r="J3754">
            <v>1.58</v>
          </cell>
          <cell r="K3754" t="str">
            <v>Medium</v>
          </cell>
          <cell r="AB3754">
            <v>0</v>
          </cell>
        </row>
        <row r="3755">
          <cell r="B3755" t="str">
            <v>Naveen Kumar</v>
          </cell>
          <cell r="I3755" t="str">
            <v>Correct</v>
          </cell>
          <cell r="J3755">
            <v>2.2799999999999998</v>
          </cell>
          <cell r="K3755" t="str">
            <v>Medium</v>
          </cell>
          <cell r="AB3755">
            <v>1.58</v>
          </cell>
        </row>
        <row r="3756">
          <cell r="B3756" t="str">
            <v>Naveen Kumar</v>
          </cell>
          <cell r="I3756" t="str">
            <v>Wrong</v>
          </cell>
          <cell r="J3756">
            <v>1.49</v>
          </cell>
          <cell r="K3756" t="str">
            <v>Medium</v>
          </cell>
          <cell r="AB3756">
            <v>0</v>
          </cell>
        </row>
        <row r="3757">
          <cell r="B3757" t="str">
            <v>Naveen Kumar</v>
          </cell>
          <cell r="I3757" t="str">
            <v>Correct</v>
          </cell>
          <cell r="J3757">
            <v>1.92</v>
          </cell>
          <cell r="K3757" t="str">
            <v>High</v>
          </cell>
          <cell r="AB3757">
            <v>3</v>
          </cell>
        </row>
        <row r="3758">
          <cell r="B3758" t="str">
            <v>Naveen Kumar</v>
          </cell>
          <cell r="I3758" t="str">
            <v>Correct</v>
          </cell>
          <cell r="J3758">
            <v>2.2200000000000002</v>
          </cell>
          <cell r="K3758" t="str">
            <v>High</v>
          </cell>
          <cell r="AB3758">
            <v>2.7</v>
          </cell>
        </row>
        <row r="3759">
          <cell r="B3759" t="str">
            <v>Naveen Kumar</v>
          </cell>
          <cell r="I3759" t="str">
            <v>Wrong</v>
          </cell>
          <cell r="J3759">
            <v>2.2799999999999998</v>
          </cell>
          <cell r="K3759" t="str">
            <v>High</v>
          </cell>
          <cell r="AB3759">
            <v>0</v>
          </cell>
        </row>
        <row r="3760">
          <cell r="B3760" t="str">
            <v>Naveen Kumar</v>
          </cell>
          <cell r="I3760" t="str">
            <v>Wrong</v>
          </cell>
          <cell r="J3760">
            <v>2.0299999999999998</v>
          </cell>
          <cell r="K3760" t="str">
            <v>High</v>
          </cell>
          <cell r="AB3760">
            <v>0</v>
          </cell>
        </row>
        <row r="3761">
          <cell r="B3761" t="str">
            <v>Naveen Kumar</v>
          </cell>
          <cell r="I3761" t="str">
            <v>Correct</v>
          </cell>
          <cell r="J3761">
            <v>2.41</v>
          </cell>
          <cell r="K3761" t="str">
            <v>High</v>
          </cell>
          <cell r="AB3761">
            <v>2.4900000000000002</v>
          </cell>
        </row>
        <row r="3762">
          <cell r="B3762" t="str">
            <v>Parameswari R</v>
          </cell>
          <cell r="I3762" t="str">
            <v>Correct</v>
          </cell>
          <cell r="J3762">
            <v>1.1000000000000001</v>
          </cell>
          <cell r="K3762" t="str">
            <v>Low</v>
          </cell>
          <cell r="AB3762">
            <v>2</v>
          </cell>
        </row>
        <row r="3763">
          <cell r="B3763" t="str">
            <v>Parameswari R</v>
          </cell>
          <cell r="I3763" t="str">
            <v>Correct</v>
          </cell>
          <cell r="J3763">
            <v>1</v>
          </cell>
          <cell r="K3763" t="str">
            <v>Low</v>
          </cell>
          <cell r="AB3763">
            <v>1</v>
          </cell>
        </row>
        <row r="3764">
          <cell r="B3764" t="str">
            <v>Parameswari R</v>
          </cell>
          <cell r="I3764" t="str">
            <v>Correct</v>
          </cell>
          <cell r="J3764">
            <v>1.23</v>
          </cell>
          <cell r="K3764" t="str">
            <v>Low</v>
          </cell>
          <cell r="AB3764">
            <v>2</v>
          </cell>
        </row>
        <row r="3765">
          <cell r="B3765" t="str">
            <v>Parameswari R</v>
          </cell>
          <cell r="I3765" t="str">
            <v>Correct</v>
          </cell>
          <cell r="J3765">
            <v>1.26</v>
          </cell>
          <cell r="K3765" t="str">
            <v>Low</v>
          </cell>
          <cell r="AB3765">
            <v>1</v>
          </cell>
        </row>
        <row r="3766">
          <cell r="B3766" t="str">
            <v>Parameswari R</v>
          </cell>
          <cell r="I3766" t="str">
            <v>Correct</v>
          </cell>
          <cell r="J3766">
            <v>1.2</v>
          </cell>
          <cell r="K3766" t="str">
            <v>Low</v>
          </cell>
          <cell r="AB3766">
            <v>1</v>
          </cell>
        </row>
        <row r="3767">
          <cell r="B3767" t="str">
            <v>Parameswari R</v>
          </cell>
          <cell r="I3767" t="str">
            <v>Correct</v>
          </cell>
          <cell r="J3767">
            <v>1.08</v>
          </cell>
          <cell r="K3767" t="str">
            <v>Low</v>
          </cell>
          <cell r="AB3767">
            <v>2</v>
          </cell>
        </row>
        <row r="3768">
          <cell r="B3768" t="str">
            <v>Parameswari R</v>
          </cell>
          <cell r="I3768" t="str">
            <v>Correct</v>
          </cell>
          <cell r="J3768">
            <v>1.1000000000000001</v>
          </cell>
          <cell r="K3768" t="str">
            <v>Low</v>
          </cell>
          <cell r="AB3768">
            <v>1</v>
          </cell>
        </row>
        <row r="3769">
          <cell r="B3769" t="str">
            <v>Parameswari R</v>
          </cell>
          <cell r="I3769" t="str">
            <v>Correct</v>
          </cell>
          <cell r="J3769">
            <v>1.34</v>
          </cell>
          <cell r="K3769" t="str">
            <v>Low</v>
          </cell>
          <cell r="AB3769">
            <v>2</v>
          </cell>
        </row>
        <row r="3770">
          <cell r="B3770" t="str">
            <v>Parameswari R</v>
          </cell>
          <cell r="I3770" t="str">
            <v>Wrong</v>
          </cell>
          <cell r="J3770">
            <v>1.39</v>
          </cell>
          <cell r="K3770" t="str">
            <v>Low</v>
          </cell>
          <cell r="AB3770">
            <v>0</v>
          </cell>
        </row>
        <row r="3771">
          <cell r="B3771" t="str">
            <v>Parameswari R</v>
          </cell>
          <cell r="I3771" t="str">
            <v>Wrong</v>
          </cell>
          <cell r="J3771">
            <v>1.65</v>
          </cell>
          <cell r="K3771" t="str">
            <v>Medium</v>
          </cell>
          <cell r="AB3771">
            <v>0</v>
          </cell>
        </row>
        <row r="3772">
          <cell r="B3772" t="str">
            <v>Parameswari R</v>
          </cell>
          <cell r="I3772" t="str">
            <v>Correct</v>
          </cell>
          <cell r="J3772">
            <v>2.04</v>
          </cell>
          <cell r="K3772" t="str">
            <v>Medium</v>
          </cell>
          <cell r="AB3772">
            <v>1.76</v>
          </cell>
        </row>
        <row r="3773">
          <cell r="B3773" t="str">
            <v>Parameswari R</v>
          </cell>
          <cell r="I3773" t="str">
            <v>Correct</v>
          </cell>
          <cell r="J3773">
            <v>1.61</v>
          </cell>
          <cell r="K3773" t="str">
            <v>Medium</v>
          </cell>
          <cell r="AB3773">
            <v>2</v>
          </cell>
        </row>
        <row r="3774">
          <cell r="B3774" t="str">
            <v>Parameswari R</v>
          </cell>
          <cell r="I3774" t="str">
            <v>Correct</v>
          </cell>
          <cell r="J3774">
            <v>2.21</v>
          </cell>
          <cell r="K3774" t="str">
            <v>Medium</v>
          </cell>
          <cell r="AB3774">
            <v>1.63</v>
          </cell>
        </row>
        <row r="3775">
          <cell r="B3775" t="str">
            <v>Parameswari R</v>
          </cell>
          <cell r="I3775" t="str">
            <v>Correct</v>
          </cell>
          <cell r="J3775">
            <v>1.78</v>
          </cell>
          <cell r="K3775" t="str">
            <v>Medium</v>
          </cell>
          <cell r="AB3775">
            <v>2</v>
          </cell>
        </row>
        <row r="3776">
          <cell r="B3776" t="str">
            <v>Parameswari R</v>
          </cell>
          <cell r="I3776" t="str">
            <v>Correct</v>
          </cell>
          <cell r="J3776">
            <v>1.74</v>
          </cell>
          <cell r="K3776" t="str">
            <v>Medium</v>
          </cell>
          <cell r="AB3776">
            <v>2</v>
          </cell>
        </row>
        <row r="3777">
          <cell r="B3777" t="str">
            <v>Parameswari R</v>
          </cell>
          <cell r="I3777" t="str">
            <v>Correct</v>
          </cell>
          <cell r="J3777">
            <v>1.77</v>
          </cell>
          <cell r="K3777" t="str">
            <v>High</v>
          </cell>
          <cell r="AB3777">
            <v>3</v>
          </cell>
        </row>
        <row r="3778">
          <cell r="B3778" t="str">
            <v>Parameswari R</v>
          </cell>
          <cell r="I3778" t="str">
            <v>Wrong</v>
          </cell>
          <cell r="J3778">
            <v>2.2000000000000002</v>
          </cell>
          <cell r="K3778" t="str">
            <v>High</v>
          </cell>
          <cell r="AB3778">
            <v>0</v>
          </cell>
        </row>
        <row r="3779">
          <cell r="B3779" t="str">
            <v>Parameswari R</v>
          </cell>
          <cell r="I3779" t="str">
            <v>Correct</v>
          </cell>
          <cell r="J3779">
            <v>2.44</v>
          </cell>
          <cell r="K3779" t="str">
            <v>High</v>
          </cell>
          <cell r="AB3779">
            <v>2.46</v>
          </cell>
        </row>
        <row r="3780">
          <cell r="B3780" t="str">
            <v>Parameswari R</v>
          </cell>
          <cell r="I3780" t="str">
            <v>Wrong</v>
          </cell>
          <cell r="J3780">
            <v>1.68</v>
          </cell>
          <cell r="K3780" t="str">
            <v>High</v>
          </cell>
          <cell r="AB3780">
            <v>0</v>
          </cell>
        </row>
        <row r="3781">
          <cell r="B3781" t="str">
            <v>Parameswari R</v>
          </cell>
          <cell r="I3781" t="str">
            <v>Correct</v>
          </cell>
          <cell r="J3781">
            <v>1.22</v>
          </cell>
          <cell r="K3781" t="str">
            <v>High</v>
          </cell>
          <cell r="AB3781">
            <v>3</v>
          </cell>
        </row>
        <row r="3782">
          <cell r="B3782" t="str">
            <v>Rajesh Kumar</v>
          </cell>
          <cell r="I3782" t="str">
            <v>Correct</v>
          </cell>
          <cell r="J3782">
            <v>1.67</v>
          </cell>
          <cell r="K3782" t="str">
            <v>Low</v>
          </cell>
          <cell r="AB3782">
            <v>1.8</v>
          </cell>
        </row>
        <row r="3783">
          <cell r="B3783" t="str">
            <v>Rajesh Kumar</v>
          </cell>
          <cell r="I3783" t="str">
            <v>Correct</v>
          </cell>
          <cell r="J3783">
            <v>1.56</v>
          </cell>
          <cell r="K3783" t="str">
            <v>Low</v>
          </cell>
          <cell r="AB3783">
            <v>0.96</v>
          </cell>
        </row>
        <row r="3784">
          <cell r="B3784" t="str">
            <v>Rajesh Kumar</v>
          </cell>
          <cell r="I3784" t="str">
            <v>Correct</v>
          </cell>
          <cell r="J3784">
            <v>1.6</v>
          </cell>
          <cell r="K3784" t="str">
            <v>Low</v>
          </cell>
          <cell r="AB3784">
            <v>1.88</v>
          </cell>
        </row>
        <row r="3785">
          <cell r="B3785" t="str">
            <v>Rajesh Kumar</v>
          </cell>
          <cell r="I3785" t="str">
            <v>Correct</v>
          </cell>
          <cell r="J3785">
            <v>1.54</v>
          </cell>
          <cell r="K3785" t="str">
            <v>Low</v>
          </cell>
          <cell r="AB3785">
            <v>0.97</v>
          </cell>
        </row>
        <row r="3786">
          <cell r="B3786" t="str">
            <v>Rajesh Kumar</v>
          </cell>
          <cell r="I3786" t="str">
            <v>Wrong</v>
          </cell>
          <cell r="J3786">
            <v>1.64</v>
          </cell>
          <cell r="K3786" t="str">
            <v>Low</v>
          </cell>
          <cell r="AB3786">
            <v>0</v>
          </cell>
        </row>
        <row r="3787">
          <cell r="B3787" t="str">
            <v>Rajesh Kumar</v>
          </cell>
          <cell r="I3787" t="str">
            <v>Correct</v>
          </cell>
          <cell r="J3787">
            <v>1.74</v>
          </cell>
          <cell r="K3787" t="str">
            <v>Low</v>
          </cell>
          <cell r="AB3787">
            <v>1.72</v>
          </cell>
        </row>
        <row r="3788">
          <cell r="B3788" t="str">
            <v>Rajesh Kumar</v>
          </cell>
          <cell r="I3788" t="str">
            <v>Correct</v>
          </cell>
          <cell r="J3788">
            <v>1.71</v>
          </cell>
          <cell r="K3788" t="str">
            <v>Low</v>
          </cell>
          <cell r="AB3788">
            <v>0.88</v>
          </cell>
        </row>
        <row r="3789">
          <cell r="B3789" t="str">
            <v>Rajesh Kumar</v>
          </cell>
          <cell r="I3789" t="str">
            <v>Correct</v>
          </cell>
          <cell r="J3789">
            <v>1.74</v>
          </cell>
          <cell r="K3789" t="str">
            <v>Low</v>
          </cell>
          <cell r="AB3789">
            <v>1.72</v>
          </cell>
        </row>
        <row r="3790">
          <cell r="B3790" t="str">
            <v>Rajesh Kumar</v>
          </cell>
          <cell r="I3790" t="str">
            <v>Correct</v>
          </cell>
          <cell r="J3790">
            <v>0.93</v>
          </cell>
          <cell r="K3790" t="str">
            <v>Low</v>
          </cell>
          <cell r="AB3790">
            <v>2</v>
          </cell>
        </row>
        <row r="3791">
          <cell r="B3791" t="str">
            <v>Rajesh Kumar</v>
          </cell>
          <cell r="I3791" t="str">
            <v>Correct</v>
          </cell>
          <cell r="J3791">
            <v>1.65</v>
          </cell>
          <cell r="K3791" t="str">
            <v>Medium</v>
          </cell>
          <cell r="AB3791">
            <v>2</v>
          </cell>
        </row>
        <row r="3792">
          <cell r="B3792" t="str">
            <v>Rajesh Kumar</v>
          </cell>
          <cell r="I3792" t="str">
            <v>Wrong</v>
          </cell>
          <cell r="J3792">
            <v>2.21</v>
          </cell>
          <cell r="K3792" t="str">
            <v>Medium</v>
          </cell>
          <cell r="AB3792">
            <v>0</v>
          </cell>
        </row>
        <row r="3793">
          <cell r="B3793" t="str">
            <v>Rajesh Kumar</v>
          </cell>
          <cell r="I3793" t="str">
            <v>Correct</v>
          </cell>
          <cell r="J3793">
            <v>1.5</v>
          </cell>
          <cell r="K3793" t="str">
            <v>Medium</v>
          </cell>
          <cell r="AB3793">
            <v>2</v>
          </cell>
        </row>
        <row r="3794">
          <cell r="B3794" t="str">
            <v>Rajesh Kumar</v>
          </cell>
          <cell r="I3794" t="str">
            <v>Correct</v>
          </cell>
          <cell r="J3794">
            <v>1.47</v>
          </cell>
          <cell r="K3794" t="str">
            <v>Medium</v>
          </cell>
          <cell r="AB3794">
            <v>2</v>
          </cell>
        </row>
        <row r="3795">
          <cell r="B3795" t="str">
            <v>Rajesh Kumar</v>
          </cell>
          <cell r="I3795" t="str">
            <v>Correct</v>
          </cell>
          <cell r="J3795">
            <v>2.06</v>
          </cell>
          <cell r="K3795" t="str">
            <v>Medium</v>
          </cell>
          <cell r="AB3795">
            <v>1.75</v>
          </cell>
        </row>
        <row r="3796">
          <cell r="B3796" t="str">
            <v>Rajesh Kumar</v>
          </cell>
          <cell r="I3796" t="str">
            <v>Correct</v>
          </cell>
          <cell r="J3796">
            <v>1.38</v>
          </cell>
          <cell r="K3796" t="str">
            <v>Medium</v>
          </cell>
          <cell r="AB3796">
            <v>2</v>
          </cell>
        </row>
        <row r="3797">
          <cell r="B3797" t="str">
            <v>Rajesh Kumar</v>
          </cell>
          <cell r="I3797" t="str">
            <v>Correct</v>
          </cell>
          <cell r="J3797">
            <v>1.99</v>
          </cell>
          <cell r="K3797" t="str">
            <v>High</v>
          </cell>
          <cell r="AB3797">
            <v>3</v>
          </cell>
        </row>
        <row r="3798">
          <cell r="B3798" t="str">
            <v>Rajesh Kumar</v>
          </cell>
          <cell r="I3798" t="str">
            <v>Wrong</v>
          </cell>
          <cell r="J3798">
            <v>1.24</v>
          </cell>
          <cell r="K3798" t="str">
            <v>High</v>
          </cell>
          <cell r="AB3798">
            <v>0</v>
          </cell>
        </row>
        <row r="3799">
          <cell r="B3799" t="str">
            <v>Rajesh Kumar</v>
          </cell>
          <cell r="I3799" t="str">
            <v>Correct</v>
          </cell>
          <cell r="J3799">
            <v>1.9</v>
          </cell>
          <cell r="K3799" t="str">
            <v>High</v>
          </cell>
          <cell r="AB3799">
            <v>3</v>
          </cell>
        </row>
        <row r="3800">
          <cell r="B3800" t="str">
            <v>Rajesh Kumar</v>
          </cell>
          <cell r="I3800" t="str">
            <v>Correct</v>
          </cell>
          <cell r="J3800">
            <v>1.23</v>
          </cell>
          <cell r="K3800" t="str">
            <v>High</v>
          </cell>
          <cell r="AB3800">
            <v>3</v>
          </cell>
        </row>
        <row r="3801">
          <cell r="B3801" t="str">
            <v>Rajesh Kumar</v>
          </cell>
          <cell r="I3801" t="str">
            <v>Correct</v>
          </cell>
          <cell r="J3801">
            <v>1.41</v>
          </cell>
          <cell r="K3801" t="str">
            <v>High</v>
          </cell>
          <cell r="AB3801">
            <v>3</v>
          </cell>
        </row>
        <row r="3802">
          <cell r="B3802" t="str">
            <v>Shalini S</v>
          </cell>
          <cell r="I3802" t="str">
            <v>Correct</v>
          </cell>
          <cell r="J3802">
            <v>1.65</v>
          </cell>
          <cell r="K3802" t="str">
            <v>Low</v>
          </cell>
          <cell r="AB3802">
            <v>1.82</v>
          </cell>
        </row>
        <row r="3803">
          <cell r="B3803" t="str">
            <v>Shalini S</v>
          </cell>
          <cell r="I3803" t="str">
            <v>Correct</v>
          </cell>
          <cell r="J3803">
            <v>1.1100000000000001</v>
          </cell>
          <cell r="K3803" t="str">
            <v>Low</v>
          </cell>
          <cell r="AB3803">
            <v>1</v>
          </cell>
        </row>
        <row r="3804">
          <cell r="B3804" t="str">
            <v>Shalini S</v>
          </cell>
          <cell r="I3804" t="str">
            <v>Correct</v>
          </cell>
          <cell r="J3804">
            <v>1.03</v>
          </cell>
          <cell r="K3804" t="str">
            <v>Low</v>
          </cell>
          <cell r="AB3804">
            <v>2</v>
          </cell>
        </row>
        <row r="3805">
          <cell r="B3805" t="str">
            <v>Shalini S</v>
          </cell>
          <cell r="I3805" t="str">
            <v>Correct</v>
          </cell>
          <cell r="J3805">
            <v>0.94</v>
          </cell>
          <cell r="K3805" t="str">
            <v>Low</v>
          </cell>
          <cell r="AB3805">
            <v>1</v>
          </cell>
        </row>
        <row r="3806">
          <cell r="B3806" t="str">
            <v>Shalini S</v>
          </cell>
          <cell r="I3806" t="str">
            <v>Correct</v>
          </cell>
          <cell r="J3806">
            <v>1.54</v>
          </cell>
          <cell r="K3806" t="str">
            <v>Low</v>
          </cell>
          <cell r="AB3806">
            <v>0.97</v>
          </cell>
        </row>
        <row r="3807">
          <cell r="B3807" t="str">
            <v>Shalini S</v>
          </cell>
          <cell r="I3807" t="str">
            <v>Correct</v>
          </cell>
          <cell r="J3807">
            <v>1.61</v>
          </cell>
          <cell r="K3807" t="str">
            <v>Low</v>
          </cell>
          <cell r="AB3807">
            <v>1.86</v>
          </cell>
        </row>
        <row r="3808">
          <cell r="B3808" t="str">
            <v>Shalini S</v>
          </cell>
          <cell r="I3808" t="str">
            <v>Correct</v>
          </cell>
          <cell r="J3808">
            <v>1.99</v>
          </cell>
          <cell r="K3808" t="str">
            <v>Low</v>
          </cell>
          <cell r="AB3808">
            <v>0.75</v>
          </cell>
        </row>
        <row r="3809">
          <cell r="B3809" t="str">
            <v>Shalini S</v>
          </cell>
          <cell r="I3809" t="str">
            <v>Correct</v>
          </cell>
          <cell r="J3809">
            <v>1.0900000000000001</v>
          </cell>
          <cell r="K3809" t="str">
            <v>Low</v>
          </cell>
          <cell r="AB3809">
            <v>2</v>
          </cell>
        </row>
        <row r="3810">
          <cell r="B3810" t="str">
            <v>Shalini S</v>
          </cell>
          <cell r="I3810" t="str">
            <v>Wrong</v>
          </cell>
          <cell r="J3810">
            <v>0.9</v>
          </cell>
          <cell r="K3810" t="str">
            <v>Low</v>
          </cell>
          <cell r="AB3810">
            <v>0</v>
          </cell>
        </row>
        <row r="3811">
          <cell r="B3811" t="str">
            <v>Shalini S</v>
          </cell>
          <cell r="I3811" t="str">
            <v>Wrong</v>
          </cell>
          <cell r="J3811">
            <v>1.96</v>
          </cell>
          <cell r="K3811" t="str">
            <v>Medium</v>
          </cell>
          <cell r="AB3811">
            <v>0</v>
          </cell>
        </row>
        <row r="3812">
          <cell r="B3812" t="str">
            <v>Shalini S</v>
          </cell>
          <cell r="I3812" t="str">
            <v>Correct</v>
          </cell>
          <cell r="J3812">
            <v>1.35</v>
          </cell>
          <cell r="K3812" t="str">
            <v>Medium</v>
          </cell>
          <cell r="AB3812">
            <v>2</v>
          </cell>
        </row>
        <row r="3813">
          <cell r="B3813" t="str">
            <v>Shalini S</v>
          </cell>
          <cell r="I3813" t="str">
            <v>Correct</v>
          </cell>
          <cell r="J3813">
            <v>1.31</v>
          </cell>
          <cell r="K3813" t="str">
            <v>Medium</v>
          </cell>
          <cell r="AB3813">
            <v>2</v>
          </cell>
        </row>
        <row r="3814">
          <cell r="B3814" t="str">
            <v>Shalini S</v>
          </cell>
          <cell r="I3814" t="str">
            <v>Correct</v>
          </cell>
          <cell r="J3814">
            <v>2.25</v>
          </cell>
          <cell r="K3814" t="str">
            <v>Medium</v>
          </cell>
          <cell r="AB3814">
            <v>1.6</v>
          </cell>
        </row>
        <row r="3815">
          <cell r="B3815" t="str">
            <v>Shalini S</v>
          </cell>
          <cell r="I3815" t="str">
            <v>Correct</v>
          </cell>
          <cell r="J3815">
            <v>1.86</v>
          </cell>
          <cell r="K3815" t="str">
            <v>Medium</v>
          </cell>
          <cell r="AB3815">
            <v>1.94</v>
          </cell>
        </row>
        <row r="3816">
          <cell r="B3816" t="str">
            <v>Shalini S</v>
          </cell>
          <cell r="I3816" t="str">
            <v>Correct</v>
          </cell>
          <cell r="J3816">
            <v>1.91</v>
          </cell>
          <cell r="K3816" t="str">
            <v>Medium</v>
          </cell>
          <cell r="AB3816">
            <v>1.88</v>
          </cell>
        </row>
        <row r="3817">
          <cell r="B3817" t="str">
            <v>Shalini S</v>
          </cell>
          <cell r="I3817" t="str">
            <v>Correct</v>
          </cell>
          <cell r="J3817">
            <v>2.2599999999999998</v>
          </cell>
          <cell r="K3817" t="str">
            <v>High</v>
          </cell>
          <cell r="AB3817">
            <v>2.66</v>
          </cell>
        </row>
        <row r="3818">
          <cell r="B3818" t="str">
            <v>Shalini S</v>
          </cell>
          <cell r="I3818" t="str">
            <v>Correct</v>
          </cell>
          <cell r="J3818">
            <v>2.08</v>
          </cell>
          <cell r="K3818" t="str">
            <v>High</v>
          </cell>
          <cell r="AB3818">
            <v>2.89</v>
          </cell>
        </row>
        <row r="3819">
          <cell r="B3819" t="str">
            <v>Shalini S</v>
          </cell>
          <cell r="I3819" t="str">
            <v>Correct</v>
          </cell>
          <cell r="J3819">
            <v>1.24</v>
          </cell>
          <cell r="K3819" t="str">
            <v>High</v>
          </cell>
          <cell r="AB3819">
            <v>3</v>
          </cell>
        </row>
        <row r="3820">
          <cell r="B3820" t="str">
            <v>Shalini S</v>
          </cell>
          <cell r="I3820" t="str">
            <v>Wrong</v>
          </cell>
          <cell r="J3820">
            <v>1.49</v>
          </cell>
          <cell r="K3820" t="str">
            <v>High</v>
          </cell>
          <cell r="AB3820">
            <v>0</v>
          </cell>
        </row>
        <row r="3821">
          <cell r="B3821" t="str">
            <v>Shalini S</v>
          </cell>
          <cell r="I3821" t="str">
            <v>Wrong</v>
          </cell>
          <cell r="J3821">
            <v>2.29</v>
          </cell>
          <cell r="K3821" t="str">
            <v>High</v>
          </cell>
          <cell r="AB3821">
            <v>0</v>
          </cell>
        </row>
        <row r="3822">
          <cell r="B3822" t="str">
            <v>Thangavel M</v>
          </cell>
          <cell r="I3822" t="str">
            <v>Correct</v>
          </cell>
          <cell r="J3822">
            <v>1.32</v>
          </cell>
          <cell r="K3822" t="str">
            <v>Low</v>
          </cell>
          <cell r="AB3822">
            <v>2</v>
          </cell>
        </row>
        <row r="3823">
          <cell r="B3823" t="str">
            <v>Thangavel M</v>
          </cell>
          <cell r="I3823" t="str">
            <v>Correct</v>
          </cell>
          <cell r="J3823">
            <v>1.52</v>
          </cell>
          <cell r="K3823" t="str">
            <v>Low</v>
          </cell>
          <cell r="AB3823">
            <v>0.99</v>
          </cell>
        </row>
        <row r="3824">
          <cell r="B3824" t="str">
            <v>Thangavel M</v>
          </cell>
          <cell r="I3824" t="str">
            <v>Correct</v>
          </cell>
          <cell r="J3824">
            <v>1.73</v>
          </cell>
          <cell r="K3824" t="str">
            <v>Low</v>
          </cell>
          <cell r="AB3824">
            <v>1.73</v>
          </cell>
        </row>
        <row r="3825">
          <cell r="B3825" t="str">
            <v>Thangavel M</v>
          </cell>
          <cell r="I3825" t="str">
            <v>Wrong</v>
          </cell>
          <cell r="J3825">
            <v>1.07</v>
          </cell>
          <cell r="K3825" t="str">
            <v>Low</v>
          </cell>
          <cell r="AB3825">
            <v>0</v>
          </cell>
        </row>
        <row r="3826">
          <cell r="B3826" t="str">
            <v>Thangavel M</v>
          </cell>
          <cell r="I3826" t="str">
            <v>Correct</v>
          </cell>
          <cell r="J3826">
            <v>1.07</v>
          </cell>
          <cell r="K3826" t="str">
            <v>Low</v>
          </cell>
          <cell r="AB3826">
            <v>1</v>
          </cell>
        </row>
        <row r="3827">
          <cell r="B3827" t="str">
            <v>Thangavel M</v>
          </cell>
          <cell r="I3827" t="str">
            <v>Correct</v>
          </cell>
          <cell r="J3827">
            <v>1.86</v>
          </cell>
          <cell r="K3827" t="str">
            <v>Low</v>
          </cell>
          <cell r="AB3827">
            <v>1.61</v>
          </cell>
        </row>
        <row r="3828">
          <cell r="B3828" t="str">
            <v>Thangavel M</v>
          </cell>
          <cell r="I3828" t="str">
            <v>Correct</v>
          </cell>
          <cell r="J3828">
            <v>1.17</v>
          </cell>
          <cell r="K3828" t="str">
            <v>Low</v>
          </cell>
          <cell r="AB3828">
            <v>1</v>
          </cell>
        </row>
        <row r="3829">
          <cell r="B3829" t="str">
            <v>Thangavel M</v>
          </cell>
          <cell r="I3829" t="str">
            <v>Correct</v>
          </cell>
          <cell r="J3829">
            <v>1</v>
          </cell>
          <cell r="K3829" t="str">
            <v>Low</v>
          </cell>
          <cell r="AB3829">
            <v>2</v>
          </cell>
        </row>
        <row r="3830">
          <cell r="B3830" t="str">
            <v>Thangavel M</v>
          </cell>
          <cell r="I3830" t="str">
            <v>Correct</v>
          </cell>
          <cell r="J3830">
            <v>1.68</v>
          </cell>
          <cell r="K3830" t="str">
            <v>Low</v>
          </cell>
          <cell r="AB3830">
            <v>1.79</v>
          </cell>
        </row>
        <row r="3831">
          <cell r="B3831" t="str">
            <v>Thangavel M</v>
          </cell>
          <cell r="I3831" t="str">
            <v>Wrong</v>
          </cell>
          <cell r="J3831">
            <v>1.22</v>
          </cell>
          <cell r="K3831" t="str">
            <v>Medium</v>
          </cell>
          <cell r="AB3831">
            <v>0</v>
          </cell>
        </row>
        <row r="3832">
          <cell r="B3832" t="str">
            <v>Thangavel M</v>
          </cell>
          <cell r="I3832" t="str">
            <v>Correct</v>
          </cell>
          <cell r="J3832">
            <v>1.36</v>
          </cell>
          <cell r="K3832" t="str">
            <v>Medium</v>
          </cell>
          <cell r="AB3832">
            <v>2</v>
          </cell>
        </row>
        <row r="3833">
          <cell r="B3833" t="str">
            <v>Thangavel M</v>
          </cell>
          <cell r="I3833" t="str">
            <v>Correct</v>
          </cell>
          <cell r="J3833">
            <v>2.29</v>
          </cell>
          <cell r="K3833" t="str">
            <v>Medium</v>
          </cell>
          <cell r="AB3833">
            <v>1.57</v>
          </cell>
        </row>
        <row r="3834">
          <cell r="B3834" t="str">
            <v>Thangavel M</v>
          </cell>
          <cell r="I3834" t="str">
            <v>Correct</v>
          </cell>
          <cell r="J3834">
            <v>1.35</v>
          </cell>
          <cell r="K3834" t="str">
            <v>Medium</v>
          </cell>
          <cell r="AB3834">
            <v>2</v>
          </cell>
        </row>
        <row r="3835">
          <cell r="B3835" t="str">
            <v>Thangavel M</v>
          </cell>
          <cell r="I3835" t="str">
            <v>Correct</v>
          </cell>
          <cell r="J3835">
            <v>1.27</v>
          </cell>
          <cell r="K3835" t="str">
            <v>Medium</v>
          </cell>
          <cell r="AB3835">
            <v>2</v>
          </cell>
        </row>
        <row r="3836">
          <cell r="B3836" t="str">
            <v>Thangavel M</v>
          </cell>
          <cell r="I3836" t="str">
            <v>Wrong</v>
          </cell>
          <cell r="J3836">
            <v>1.1200000000000001</v>
          </cell>
          <cell r="K3836" t="str">
            <v>Medium</v>
          </cell>
          <cell r="AB3836">
            <v>0</v>
          </cell>
        </row>
        <row r="3837">
          <cell r="B3837" t="str">
            <v>Thangavel M</v>
          </cell>
          <cell r="I3837" t="str">
            <v>Wrong</v>
          </cell>
          <cell r="J3837">
            <v>1.83</v>
          </cell>
          <cell r="K3837" t="str">
            <v>High</v>
          </cell>
          <cell r="AB3837">
            <v>0</v>
          </cell>
        </row>
        <row r="3838">
          <cell r="B3838" t="str">
            <v>Thangavel M</v>
          </cell>
          <cell r="I3838" t="str">
            <v>Wrong</v>
          </cell>
          <cell r="J3838">
            <v>1.34</v>
          </cell>
          <cell r="K3838" t="str">
            <v>High</v>
          </cell>
          <cell r="AB3838">
            <v>0</v>
          </cell>
        </row>
        <row r="3839">
          <cell r="B3839" t="str">
            <v>Thangavel M</v>
          </cell>
          <cell r="I3839" t="str">
            <v>Correct</v>
          </cell>
          <cell r="J3839">
            <v>2.16</v>
          </cell>
          <cell r="K3839" t="str">
            <v>High</v>
          </cell>
          <cell r="AB3839">
            <v>2.78</v>
          </cell>
        </row>
        <row r="3840">
          <cell r="B3840" t="str">
            <v>Thangavel M</v>
          </cell>
          <cell r="I3840" t="str">
            <v>Wrong</v>
          </cell>
          <cell r="J3840">
            <v>1.37</v>
          </cell>
          <cell r="K3840" t="str">
            <v>High</v>
          </cell>
          <cell r="AB3840">
            <v>0</v>
          </cell>
        </row>
        <row r="3841">
          <cell r="B3841" t="str">
            <v>Thangavel M</v>
          </cell>
          <cell r="I3841" t="str">
            <v>Wrong</v>
          </cell>
          <cell r="J3841">
            <v>1.24</v>
          </cell>
          <cell r="K3841" t="str">
            <v>High</v>
          </cell>
          <cell r="AB3841">
            <v>0</v>
          </cell>
        </row>
        <row r="3842">
          <cell r="B3842" t="str">
            <v>Udhaya Kumar</v>
          </cell>
          <cell r="I3842" t="str">
            <v>Correct</v>
          </cell>
          <cell r="J3842">
            <v>1.49</v>
          </cell>
          <cell r="K3842" t="str">
            <v>Low</v>
          </cell>
          <cell r="AB3842">
            <v>2</v>
          </cell>
        </row>
        <row r="3843">
          <cell r="B3843" t="str">
            <v>Udhaya Kumar</v>
          </cell>
          <cell r="I3843" t="str">
            <v>Correct</v>
          </cell>
          <cell r="J3843">
            <v>1.26</v>
          </cell>
          <cell r="K3843" t="str">
            <v>Low</v>
          </cell>
          <cell r="AB3843">
            <v>1</v>
          </cell>
        </row>
        <row r="3844">
          <cell r="B3844" t="str">
            <v>Udhaya Kumar</v>
          </cell>
          <cell r="I3844" t="str">
            <v>Correct</v>
          </cell>
          <cell r="J3844">
            <v>1.89</v>
          </cell>
          <cell r="K3844" t="str">
            <v>Low</v>
          </cell>
          <cell r="AB3844">
            <v>1.59</v>
          </cell>
        </row>
        <row r="3845">
          <cell r="B3845" t="str">
            <v>Udhaya Kumar</v>
          </cell>
          <cell r="I3845" t="str">
            <v>Correct</v>
          </cell>
          <cell r="J3845">
            <v>1.0900000000000001</v>
          </cell>
          <cell r="K3845" t="str">
            <v>Low</v>
          </cell>
          <cell r="AB3845">
            <v>1</v>
          </cell>
        </row>
        <row r="3846">
          <cell r="B3846" t="str">
            <v>Udhaya Kumar</v>
          </cell>
          <cell r="I3846" t="str">
            <v>Correct</v>
          </cell>
          <cell r="J3846">
            <v>1.73</v>
          </cell>
          <cell r="K3846" t="str">
            <v>Low</v>
          </cell>
          <cell r="AB3846">
            <v>0.87</v>
          </cell>
        </row>
        <row r="3847">
          <cell r="B3847" t="str">
            <v>Udhaya Kumar</v>
          </cell>
          <cell r="I3847" t="str">
            <v>Correct</v>
          </cell>
          <cell r="J3847">
            <v>1.1200000000000001</v>
          </cell>
          <cell r="K3847" t="str">
            <v>Low</v>
          </cell>
          <cell r="AB3847">
            <v>2</v>
          </cell>
        </row>
        <row r="3848">
          <cell r="B3848" t="str">
            <v>Udhaya Kumar</v>
          </cell>
          <cell r="I3848" t="str">
            <v>Correct</v>
          </cell>
          <cell r="J3848">
            <v>1.79</v>
          </cell>
          <cell r="K3848" t="str">
            <v>Low</v>
          </cell>
          <cell r="AB3848">
            <v>0.84</v>
          </cell>
        </row>
        <row r="3849">
          <cell r="B3849" t="str">
            <v>Udhaya Kumar</v>
          </cell>
          <cell r="I3849" t="str">
            <v>Wrong</v>
          </cell>
          <cell r="J3849">
            <v>1.64</v>
          </cell>
          <cell r="K3849" t="str">
            <v>Low</v>
          </cell>
          <cell r="AB3849">
            <v>0</v>
          </cell>
        </row>
        <row r="3850">
          <cell r="B3850" t="str">
            <v>Udhaya Kumar</v>
          </cell>
          <cell r="I3850" t="str">
            <v>Correct</v>
          </cell>
          <cell r="J3850">
            <v>1.79</v>
          </cell>
          <cell r="K3850" t="str">
            <v>Low</v>
          </cell>
          <cell r="AB3850">
            <v>1.68</v>
          </cell>
        </row>
        <row r="3851">
          <cell r="B3851" t="str">
            <v>Udhaya Kumar</v>
          </cell>
          <cell r="I3851" t="str">
            <v>Correct</v>
          </cell>
          <cell r="J3851">
            <v>2.15</v>
          </cell>
          <cell r="K3851" t="str">
            <v>Medium</v>
          </cell>
          <cell r="AB3851">
            <v>1.67</v>
          </cell>
        </row>
        <row r="3852">
          <cell r="B3852" t="str">
            <v>Udhaya Kumar</v>
          </cell>
          <cell r="I3852" t="str">
            <v>Wrong</v>
          </cell>
          <cell r="J3852">
            <v>1.46</v>
          </cell>
          <cell r="K3852" t="str">
            <v>Medium</v>
          </cell>
          <cell r="AB3852">
            <v>0</v>
          </cell>
        </row>
        <row r="3853">
          <cell r="B3853" t="str">
            <v>Udhaya Kumar</v>
          </cell>
          <cell r="I3853" t="str">
            <v>Correct</v>
          </cell>
          <cell r="J3853">
            <v>1.69</v>
          </cell>
          <cell r="K3853" t="str">
            <v>Medium</v>
          </cell>
          <cell r="AB3853">
            <v>2</v>
          </cell>
        </row>
        <row r="3854">
          <cell r="B3854" t="str">
            <v>Udhaya Kumar</v>
          </cell>
          <cell r="I3854" t="str">
            <v>Correct</v>
          </cell>
          <cell r="J3854">
            <v>1.46</v>
          </cell>
          <cell r="K3854" t="str">
            <v>Medium</v>
          </cell>
          <cell r="AB3854">
            <v>2</v>
          </cell>
        </row>
        <row r="3855">
          <cell r="B3855" t="str">
            <v>Udhaya Kumar</v>
          </cell>
          <cell r="I3855" t="str">
            <v>Correct</v>
          </cell>
          <cell r="J3855">
            <v>2.16</v>
          </cell>
          <cell r="K3855" t="str">
            <v>Medium</v>
          </cell>
          <cell r="AB3855">
            <v>1.67</v>
          </cell>
        </row>
        <row r="3856">
          <cell r="B3856" t="str">
            <v>Udhaya Kumar</v>
          </cell>
          <cell r="I3856" t="str">
            <v>Correct</v>
          </cell>
          <cell r="J3856">
            <v>1.98</v>
          </cell>
          <cell r="K3856" t="str">
            <v>Medium</v>
          </cell>
          <cell r="AB3856">
            <v>1.82</v>
          </cell>
        </row>
        <row r="3857">
          <cell r="B3857" t="str">
            <v>Udhaya Kumar</v>
          </cell>
          <cell r="I3857" t="str">
            <v>Wrong</v>
          </cell>
          <cell r="J3857">
            <v>1.53</v>
          </cell>
          <cell r="K3857" t="str">
            <v>High</v>
          </cell>
          <cell r="AB3857">
            <v>0</v>
          </cell>
        </row>
        <row r="3858">
          <cell r="B3858" t="str">
            <v>Udhaya Kumar</v>
          </cell>
          <cell r="I3858" t="str">
            <v>Correct</v>
          </cell>
          <cell r="J3858">
            <v>1.75</v>
          </cell>
          <cell r="K3858" t="str">
            <v>High</v>
          </cell>
          <cell r="AB3858">
            <v>3</v>
          </cell>
        </row>
        <row r="3859">
          <cell r="B3859" t="str">
            <v>Udhaya Kumar</v>
          </cell>
          <cell r="I3859" t="str">
            <v>Wrong</v>
          </cell>
          <cell r="J3859">
            <v>2.2799999999999998</v>
          </cell>
          <cell r="K3859" t="str">
            <v>High</v>
          </cell>
          <cell r="AB3859">
            <v>0</v>
          </cell>
        </row>
        <row r="3860">
          <cell r="B3860" t="str">
            <v>Udhaya Kumar</v>
          </cell>
          <cell r="I3860" t="str">
            <v>Correct</v>
          </cell>
          <cell r="J3860">
            <v>1.83</v>
          </cell>
          <cell r="K3860" t="str">
            <v>High</v>
          </cell>
          <cell r="AB3860">
            <v>3</v>
          </cell>
        </row>
        <row r="3861">
          <cell r="B3861" t="str">
            <v>Udhaya Kumar</v>
          </cell>
          <cell r="I3861" t="str">
            <v>Wrong</v>
          </cell>
          <cell r="J3861">
            <v>1.98</v>
          </cell>
          <cell r="K3861" t="str">
            <v>High</v>
          </cell>
          <cell r="AB3861">
            <v>0</v>
          </cell>
        </row>
        <row r="3862">
          <cell r="B3862" t="str">
            <v>Vidhya Lakshmi</v>
          </cell>
          <cell r="I3862" t="str">
            <v>Wrong</v>
          </cell>
          <cell r="J3862">
            <v>1.33</v>
          </cell>
          <cell r="K3862" t="str">
            <v>Low</v>
          </cell>
          <cell r="AB3862">
            <v>0</v>
          </cell>
        </row>
        <row r="3863">
          <cell r="B3863" t="str">
            <v>Vidhya Lakshmi</v>
          </cell>
          <cell r="I3863" t="str">
            <v>Correct</v>
          </cell>
          <cell r="J3863">
            <v>1.46</v>
          </cell>
          <cell r="K3863" t="str">
            <v>Low</v>
          </cell>
          <cell r="AB3863">
            <v>1</v>
          </cell>
        </row>
        <row r="3864">
          <cell r="B3864" t="str">
            <v>Vidhya Lakshmi</v>
          </cell>
          <cell r="I3864" t="str">
            <v>Correct</v>
          </cell>
          <cell r="J3864">
            <v>1.46</v>
          </cell>
          <cell r="K3864" t="str">
            <v>Low</v>
          </cell>
          <cell r="AB3864">
            <v>2</v>
          </cell>
        </row>
        <row r="3865">
          <cell r="B3865" t="str">
            <v>Vidhya Lakshmi</v>
          </cell>
          <cell r="I3865" t="str">
            <v>Correct</v>
          </cell>
          <cell r="J3865">
            <v>1.69</v>
          </cell>
          <cell r="K3865" t="str">
            <v>Low</v>
          </cell>
          <cell r="AB3865">
            <v>0.89</v>
          </cell>
        </row>
        <row r="3866">
          <cell r="B3866" t="str">
            <v>Vidhya Lakshmi</v>
          </cell>
          <cell r="I3866" t="str">
            <v>Correct</v>
          </cell>
          <cell r="J3866">
            <v>1.25</v>
          </cell>
          <cell r="K3866" t="str">
            <v>Low</v>
          </cell>
          <cell r="AB3866">
            <v>1</v>
          </cell>
        </row>
        <row r="3867">
          <cell r="B3867" t="str">
            <v>Vidhya Lakshmi</v>
          </cell>
          <cell r="I3867" t="str">
            <v>Correct</v>
          </cell>
          <cell r="J3867">
            <v>1.8</v>
          </cell>
          <cell r="K3867" t="str">
            <v>Low</v>
          </cell>
          <cell r="AB3867">
            <v>1.67</v>
          </cell>
        </row>
        <row r="3868">
          <cell r="B3868" t="str">
            <v>Vidhya Lakshmi</v>
          </cell>
          <cell r="I3868" t="str">
            <v>Correct</v>
          </cell>
          <cell r="J3868">
            <v>0.96</v>
          </cell>
          <cell r="K3868" t="str">
            <v>Low</v>
          </cell>
          <cell r="AB3868">
            <v>1</v>
          </cell>
        </row>
        <row r="3869">
          <cell r="B3869" t="str">
            <v>Vidhya Lakshmi</v>
          </cell>
          <cell r="I3869" t="str">
            <v>Correct</v>
          </cell>
          <cell r="J3869">
            <v>1.56</v>
          </cell>
          <cell r="K3869" t="str">
            <v>Low</v>
          </cell>
          <cell r="AB3869">
            <v>1.92</v>
          </cell>
        </row>
        <row r="3870">
          <cell r="B3870" t="str">
            <v>Vidhya Lakshmi</v>
          </cell>
          <cell r="I3870" t="str">
            <v>Correct</v>
          </cell>
          <cell r="J3870">
            <v>1.26</v>
          </cell>
          <cell r="K3870" t="str">
            <v>Low</v>
          </cell>
          <cell r="AB3870">
            <v>2</v>
          </cell>
        </row>
        <row r="3871">
          <cell r="B3871" t="str">
            <v>Vidhya Lakshmi</v>
          </cell>
          <cell r="I3871" t="str">
            <v>Wrong</v>
          </cell>
          <cell r="J3871">
            <v>1.2</v>
          </cell>
          <cell r="K3871" t="str">
            <v>Medium</v>
          </cell>
          <cell r="AB3871">
            <v>0</v>
          </cell>
        </row>
        <row r="3872">
          <cell r="B3872" t="str">
            <v>Vidhya Lakshmi</v>
          </cell>
          <cell r="I3872" t="str">
            <v>Wrong</v>
          </cell>
          <cell r="J3872">
            <v>1.66</v>
          </cell>
          <cell r="K3872" t="str">
            <v>Medium</v>
          </cell>
          <cell r="AB3872">
            <v>0</v>
          </cell>
        </row>
        <row r="3873">
          <cell r="B3873" t="str">
            <v>Vidhya Lakshmi</v>
          </cell>
          <cell r="I3873" t="str">
            <v>Correct</v>
          </cell>
          <cell r="J3873">
            <v>1.92</v>
          </cell>
          <cell r="K3873" t="str">
            <v>Medium</v>
          </cell>
          <cell r="AB3873">
            <v>1.88</v>
          </cell>
        </row>
        <row r="3874">
          <cell r="B3874" t="str">
            <v>Vidhya Lakshmi</v>
          </cell>
          <cell r="I3874" t="str">
            <v>Wrong</v>
          </cell>
          <cell r="J3874">
            <v>1.48</v>
          </cell>
          <cell r="K3874" t="str">
            <v>Medium</v>
          </cell>
          <cell r="AB3874">
            <v>0</v>
          </cell>
        </row>
        <row r="3875">
          <cell r="B3875" t="str">
            <v>Vidhya Lakshmi</v>
          </cell>
          <cell r="I3875" t="str">
            <v>Correct</v>
          </cell>
          <cell r="J3875">
            <v>1.75</v>
          </cell>
          <cell r="K3875" t="str">
            <v>Medium</v>
          </cell>
          <cell r="AB3875">
            <v>2</v>
          </cell>
        </row>
        <row r="3876">
          <cell r="B3876" t="str">
            <v>Vidhya Lakshmi</v>
          </cell>
          <cell r="I3876" t="str">
            <v>Wrong</v>
          </cell>
          <cell r="J3876">
            <v>2.1</v>
          </cell>
          <cell r="K3876" t="str">
            <v>Medium</v>
          </cell>
          <cell r="AB3876">
            <v>0</v>
          </cell>
        </row>
        <row r="3877">
          <cell r="B3877" t="str">
            <v>Vidhya Lakshmi</v>
          </cell>
          <cell r="I3877" t="str">
            <v>Correct</v>
          </cell>
          <cell r="J3877">
            <v>1.65</v>
          </cell>
          <cell r="K3877" t="str">
            <v>High</v>
          </cell>
          <cell r="AB3877">
            <v>3</v>
          </cell>
        </row>
        <row r="3878">
          <cell r="B3878" t="str">
            <v>Vidhya Lakshmi</v>
          </cell>
          <cell r="I3878" t="str">
            <v>Wrong</v>
          </cell>
          <cell r="J3878">
            <v>1.88</v>
          </cell>
          <cell r="K3878" t="str">
            <v>High</v>
          </cell>
          <cell r="AB3878">
            <v>0</v>
          </cell>
        </row>
        <row r="3879">
          <cell r="B3879" t="str">
            <v>Vidhya Lakshmi</v>
          </cell>
          <cell r="I3879" t="str">
            <v>Wrong</v>
          </cell>
          <cell r="J3879">
            <v>2.6</v>
          </cell>
          <cell r="K3879" t="str">
            <v>High</v>
          </cell>
          <cell r="AB3879">
            <v>0</v>
          </cell>
        </row>
        <row r="3880">
          <cell r="B3880" t="str">
            <v>Vidhya Lakshmi</v>
          </cell>
          <cell r="I3880" t="str">
            <v>Wrong</v>
          </cell>
          <cell r="J3880">
            <v>1.79</v>
          </cell>
          <cell r="K3880" t="str">
            <v>High</v>
          </cell>
          <cell r="AB3880">
            <v>0</v>
          </cell>
        </row>
        <row r="3881">
          <cell r="B3881" t="str">
            <v>Vidhya Lakshmi</v>
          </cell>
          <cell r="I3881" t="str">
            <v>Correct</v>
          </cell>
          <cell r="J3881">
            <v>1.94</v>
          </cell>
          <cell r="K3881" t="str">
            <v>High</v>
          </cell>
          <cell r="AB3881">
            <v>3</v>
          </cell>
        </row>
        <row r="3882">
          <cell r="B3882" t="str">
            <v>Arun Prasad</v>
          </cell>
          <cell r="I3882" t="str">
            <v>Correct</v>
          </cell>
          <cell r="J3882">
            <v>1.1599999999999999</v>
          </cell>
          <cell r="K3882" t="str">
            <v>Low</v>
          </cell>
          <cell r="AB3882">
            <v>2</v>
          </cell>
        </row>
        <row r="3883">
          <cell r="B3883" t="str">
            <v>Arun Prasad</v>
          </cell>
          <cell r="I3883" t="str">
            <v>Correct</v>
          </cell>
          <cell r="J3883">
            <v>1.68</v>
          </cell>
          <cell r="K3883" t="str">
            <v>Low</v>
          </cell>
          <cell r="AB3883">
            <v>0.89</v>
          </cell>
        </row>
        <row r="3884">
          <cell r="B3884" t="str">
            <v>Arun Prasad</v>
          </cell>
          <cell r="I3884" t="str">
            <v>Correct</v>
          </cell>
          <cell r="J3884">
            <v>1.79</v>
          </cell>
          <cell r="K3884" t="str">
            <v>Low</v>
          </cell>
          <cell r="AB3884">
            <v>1.68</v>
          </cell>
        </row>
        <row r="3885">
          <cell r="B3885" t="str">
            <v>Arun Prasad</v>
          </cell>
          <cell r="I3885" t="str">
            <v>Correct</v>
          </cell>
          <cell r="J3885">
            <v>1.29</v>
          </cell>
          <cell r="K3885" t="str">
            <v>Low</v>
          </cell>
          <cell r="AB3885">
            <v>1</v>
          </cell>
        </row>
        <row r="3886">
          <cell r="B3886" t="str">
            <v>Arun Prasad</v>
          </cell>
          <cell r="I3886" t="str">
            <v>Wrong</v>
          </cell>
          <cell r="J3886">
            <v>1.9</v>
          </cell>
          <cell r="K3886" t="str">
            <v>Low</v>
          </cell>
          <cell r="AB3886">
            <v>0</v>
          </cell>
        </row>
        <row r="3887">
          <cell r="B3887" t="str">
            <v>Arun Prasad</v>
          </cell>
          <cell r="I3887" t="str">
            <v>Correct</v>
          </cell>
          <cell r="J3887">
            <v>1.69</v>
          </cell>
          <cell r="K3887" t="str">
            <v>Low</v>
          </cell>
          <cell r="AB3887">
            <v>1.78</v>
          </cell>
        </row>
        <row r="3888">
          <cell r="B3888" t="str">
            <v>Arun Prasad</v>
          </cell>
          <cell r="I3888" t="str">
            <v>Correct</v>
          </cell>
          <cell r="J3888">
            <v>1.29</v>
          </cell>
          <cell r="K3888" t="str">
            <v>Low</v>
          </cell>
          <cell r="AB3888">
            <v>1</v>
          </cell>
        </row>
        <row r="3889">
          <cell r="B3889" t="str">
            <v>Arun Prasad</v>
          </cell>
          <cell r="I3889" t="str">
            <v>Correct</v>
          </cell>
          <cell r="J3889">
            <v>1.96</v>
          </cell>
          <cell r="K3889" t="str">
            <v>Low</v>
          </cell>
          <cell r="AB3889">
            <v>1.53</v>
          </cell>
        </row>
        <row r="3890">
          <cell r="B3890" t="str">
            <v>Arun Prasad</v>
          </cell>
          <cell r="I3890" t="str">
            <v>Correct</v>
          </cell>
          <cell r="J3890">
            <v>1.2</v>
          </cell>
          <cell r="K3890" t="str">
            <v>Low</v>
          </cell>
          <cell r="AB3890">
            <v>2</v>
          </cell>
        </row>
        <row r="3891">
          <cell r="B3891" t="str">
            <v>Arun Prasad</v>
          </cell>
          <cell r="I3891" t="str">
            <v>Wrong</v>
          </cell>
          <cell r="J3891">
            <v>2.2999999999999998</v>
          </cell>
          <cell r="K3891" t="str">
            <v>Medium</v>
          </cell>
          <cell r="AB3891">
            <v>0</v>
          </cell>
        </row>
        <row r="3892">
          <cell r="B3892" t="str">
            <v>Arun Prasad</v>
          </cell>
          <cell r="I3892" t="str">
            <v>Wrong</v>
          </cell>
          <cell r="J3892">
            <v>2.25</v>
          </cell>
          <cell r="K3892" t="str">
            <v>Medium</v>
          </cell>
          <cell r="AB3892">
            <v>0</v>
          </cell>
        </row>
        <row r="3893">
          <cell r="B3893" t="str">
            <v>Arun Prasad</v>
          </cell>
          <cell r="I3893" t="str">
            <v>Correct</v>
          </cell>
          <cell r="J3893">
            <v>1.87</v>
          </cell>
          <cell r="K3893" t="str">
            <v>Medium</v>
          </cell>
          <cell r="AB3893">
            <v>1.93</v>
          </cell>
        </row>
        <row r="3894">
          <cell r="B3894" t="str">
            <v>Arun Prasad</v>
          </cell>
          <cell r="I3894" t="str">
            <v>Correct</v>
          </cell>
          <cell r="J3894">
            <v>1.26</v>
          </cell>
          <cell r="K3894" t="str">
            <v>Medium</v>
          </cell>
          <cell r="AB3894">
            <v>2</v>
          </cell>
        </row>
        <row r="3895">
          <cell r="B3895" t="str">
            <v>Arun Prasad</v>
          </cell>
          <cell r="I3895" t="str">
            <v>Wrong</v>
          </cell>
          <cell r="J3895">
            <v>1.98</v>
          </cell>
          <cell r="K3895" t="str">
            <v>Medium</v>
          </cell>
          <cell r="AB3895">
            <v>0</v>
          </cell>
        </row>
        <row r="3896">
          <cell r="B3896" t="str">
            <v>Arun Prasad</v>
          </cell>
          <cell r="I3896" t="str">
            <v>Correct</v>
          </cell>
          <cell r="J3896">
            <v>2.11</v>
          </cell>
          <cell r="K3896" t="str">
            <v>Medium</v>
          </cell>
          <cell r="AB3896">
            <v>1.71</v>
          </cell>
        </row>
        <row r="3897">
          <cell r="B3897" t="str">
            <v>Arun Prasad</v>
          </cell>
          <cell r="I3897" t="str">
            <v>Wrong</v>
          </cell>
          <cell r="J3897">
            <v>1.37</v>
          </cell>
          <cell r="K3897" t="str">
            <v>High</v>
          </cell>
          <cell r="AB3897">
            <v>0</v>
          </cell>
        </row>
        <row r="3898">
          <cell r="B3898" t="str">
            <v>Arun Prasad</v>
          </cell>
          <cell r="I3898" t="str">
            <v>Wrong</v>
          </cell>
          <cell r="J3898">
            <v>1.82</v>
          </cell>
          <cell r="K3898" t="str">
            <v>High</v>
          </cell>
          <cell r="AB3898">
            <v>0</v>
          </cell>
        </row>
        <row r="3899">
          <cell r="B3899" t="str">
            <v>Arun Prasad</v>
          </cell>
          <cell r="I3899" t="str">
            <v>Wrong</v>
          </cell>
          <cell r="J3899">
            <v>1.93</v>
          </cell>
          <cell r="K3899" t="str">
            <v>High</v>
          </cell>
          <cell r="AB3899">
            <v>0</v>
          </cell>
        </row>
        <row r="3900">
          <cell r="B3900" t="str">
            <v>Arun Prasad</v>
          </cell>
          <cell r="I3900" t="str">
            <v>Correct</v>
          </cell>
          <cell r="J3900">
            <v>1.95</v>
          </cell>
          <cell r="K3900" t="str">
            <v>High</v>
          </cell>
          <cell r="AB3900">
            <v>3</v>
          </cell>
        </row>
        <row r="3901">
          <cell r="B3901" t="str">
            <v>Arun Prasad</v>
          </cell>
          <cell r="I3901" t="str">
            <v>Wrong</v>
          </cell>
          <cell r="J3901">
            <v>1.45</v>
          </cell>
          <cell r="K3901" t="str">
            <v>High</v>
          </cell>
          <cell r="AB3901">
            <v>0</v>
          </cell>
        </row>
        <row r="3902">
          <cell r="B3902" t="str">
            <v>Banu Priya</v>
          </cell>
          <cell r="I3902" t="str">
            <v>Correct</v>
          </cell>
          <cell r="J3902">
            <v>1</v>
          </cell>
          <cell r="K3902" t="str">
            <v>Low</v>
          </cell>
          <cell r="AB3902">
            <v>2</v>
          </cell>
        </row>
        <row r="3903">
          <cell r="B3903" t="str">
            <v>Banu Priya</v>
          </cell>
          <cell r="I3903" t="str">
            <v>Correct</v>
          </cell>
          <cell r="J3903">
            <v>0.99</v>
          </cell>
          <cell r="K3903" t="str">
            <v>Low</v>
          </cell>
          <cell r="AB3903">
            <v>1</v>
          </cell>
        </row>
        <row r="3904">
          <cell r="B3904" t="str">
            <v>Banu Priya</v>
          </cell>
          <cell r="I3904" t="str">
            <v>Correct</v>
          </cell>
          <cell r="J3904">
            <v>1.05</v>
          </cell>
          <cell r="K3904" t="str">
            <v>Low</v>
          </cell>
          <cell r="AB3904">
            <v>2</v>
          </cell>
        </row>
        <row r="3905">
          <cell r="B3905" t="str">
            <v>Banu Priya</v>
          </cell>
          <cell r="I3905" t="str">
            <v>Wrong</v>
          </cell>
          <cell r="J3905">
            <v>1.8</v>
          </cell>
          <cell r="K3905" t="str">
            <v>Low</v>
          </cell>
          <cell r="AB3905">
            <v>0</v>
          </cell>
        </row>
        <row r="3906">
          <cell r="B3906" t="str">
            <v>Banu Priya</v>
          </cell>
          <cell r="I3906" t="str">
            <v>Correct</v>
          </cell>
          <cell r="J3906">
            <v>1.42</v>
          </cell>
          <cell r="K3906" t="str">
            <v>Low</v>
          </cell>
          <cell r="AB3906">
            <v>1</v>
          </cell>
        </row>
        <row r="3907">
          <cell r="B3907" t="str">
            <v>Banu Priya</v>
          </cell>
          <cell r="I3907" t="str">
            <v>Correct</v>
          </cell>
          <cell r="J3907">
            <v>1.86</v>
          </cell>
          <cell r="K3907" t="str">
            <v>Low</v>
          </cell>
          <cell r="AB3907">
            <v>1.61</v>
          </cell>
        </row>
        <row r="3908">
          <cell r="B3908" t="str">
            <v>Banu Priya</v>
          </cell>
          <cell r="I3908" t="str">
            <v>Correct</v>
          </cell>
          <cell r="J3908">
            <v>1.1200000000000001</v>
          </cell>
          <cell r="K3908" t="str">
            <v>Low</v>
          </cell>
          <cell r="AB3908">
            <v>1</v>
          </cell>
        </row>
        <row r="3909">
          <cell r="B3909" t="str">
            <v>Banu Priya</v>
          </cell>
          <cell r="I3909" t="str">
            <v>Correct</v>
          </cell>
          <cell r="J3909">
            <v>1.5</v>
          </cell>
          <cell r="K3909" t="str">
            <v>Low</v>
          </cell>
          <cell r="AB3909">
            <v>2</v>
          </cell>
        </row>
        <row r="3910">
          <cell r="B3910" t="str">
            <v>Banu Priya</v>
          </cell>
          <cell r="I3910" t="str">
            <v>Correct</v>
          </cell>
          <cell r="J3910">
            <v>1.81</v>
          </cell>
          <cell r="K3910" t="str">
            <v>Low</v>
          </cell>
          <cell r="AB3910">
            <v>1.66</v>
          </cell>
        </row>
        <row r="3911">
          <cell r="B3911" t="str">
            <v>Banu Priya</v>
          </cell>
          <cell r="I3911" t="str">
            <v>Correct</v>
          </cell>
          <cell r="J3911">
            <v>1.22</v>
          </cell>
          <cell r="K3911" t="str">
            <v>Medium</v>
          </cell>
          <cell r="AB3911">
            <v>2</v>
          </cell>
        </row>
        <row r="3912">
          <cell r="B3912" t="str">
            <v>Banu Priya</v>
          </cell>
          <cell r="I3912" t="str">
            <v>Wrong</v>
          </cell>
          <cell r="J3912">
            <v>2.09</v>
          </cell>
          <cell r="K3912" t="str">
            <v>Medium</v>
          </cell>
          <cell r="AB3912">
            <v>0</v>
          </cell>
        </row>
        <row r="3913">
          <cell r="B3913" t="str">
            <v>Banu Priya</v>
          </cell>
          <cell r="I3913" t="str">
            <v>Correct</v>
          </cell>
          <cell r="J3913">
            <v>1.35</v>
          </cell>
          <cell r="K3913" t="str">
            <v>Medium</v>
          </cell>
          <cell r="AB3913">
            <v>2</v>
          </cell>
        </row>
        <row r="3914">
          <cell r="B3914" t="str">
            <v>Banu Priya</v>
          </cell>
          <cell r="I3914" t="str">
            <v>Correct</v>
          </cell>
          <cell r="J3914">
            <v>1.19</v>
          </cell>
          <cell r="K3914" t="str">
            <v>Medium</v>
          </cell>
          <cell r="AB3914">
            <v>2</v>
          </cell>
        </row>
        <row r="3915">
          <cell r="B3915" t="str">
            <v>Banu Priya</v>
          </cell>
          <cell r="I3915" t="str">
            <v>Correct</v>
          </cell>
          <cell r="J3915">
            <v>1.97</v>
          </cell>
          <cell r="K3915" t="str">
            <v>Medium</v>
          </cell>
          <cell r="AB3915">
            <v>1.83</v>
          </cell>
        </row>
        <row r="3916">
          <cell r="B3916" t="str">
            <v>Banu Priya</v>
          </cell>
          <cell r="I3916" t="str">
            <v>Correct</v>
          </cell>
          <cell r="J3916">
            <v>1.87</v>
          </cell>
          <cell r="K3916" t="str">
            <v>Medium</v>
          </cell>
          <cell r="AB3916">
            <v>1.93</v>
          </cell>
        </row>
        <row r="3917">
          <cell r="B3917" t="str">
            <v>Banu Priya</v>
          </cell>
          <cell r="I3917" t="str">
            <v>Correct</v>
          </cell>
          <cell r="J3917">
            <v>1.28</v>
          </cell>
          <cell r="K3917" t="str">
            <v>High</v>
          </cell>
          <cell r="AB3917">
            <v>3</v>
          </cell>
        </row>
        <row r="3918">
          <cell r="B3918" t="str">
            <v>Banu Priya</v>
          </cell>
          <cell r="I3918" t="str">
            <v>Correct</v>
          </cell>
          <cell r="J3918">
            <v>1.77</v>
          </cell>
          <cell r="K3918" t="str">
            <v>High</v>
          </cell>
          <cell r="AB3918">
            <v>3</v>
          </cell>
        </row>
        <row r="3919">
          <cell r="B3919" t="str">
            <v>Banu Priya</v>
          </cell>
          <cell r="I3919" t="str">
            <v>Correct</v>
          </cell>
          <cell r="J3919">
            <v>2</v>
          </cell>
          <cell r="K3919" t="str">
            <v>High</v>
          </cell>
          <cell r="AB3919">
            <v>3</v>
          </cell>
        </row>
        <row r="3920">
          <cell r="B3920" t="str">
            <v>Banu Priya</v>
          </cell>
          <cell r="I3920" t="str">
            <v>Wrong</v>
          </cell>
          <cell r="J3920">
            <v>1.32</v>
          </cell>
          <cell r="K3920" t="str">
            <v>High</v>
          </cell>
          <cell r="AB3920">
            <v>0</v>
          </cell>
        </row>
        <row r="3921">
          <cell r="B3921" t="str">
            <v>Banu Priya</v>
          </cell>
          <cell r="I3921" t="str">
            <v>Correct</v>
          </cell>
          <cell r="J3921">
            <v>2.04</v>
          </cell>
          <cell r="K3921" t="str">
            <v>High</v>
          </cell>
          <cell r="AB3921">
            <v>2.94</v>
          </cell>
        </row>
        <row r="3922">
          <cell r="B3922" t="str">
            <v>Dhanalakshmi S</v>
          </cell>
          <cell r="I3922" t="str">
            <v>Correct</v>
          </cell>
          <cell r="J3922">
            <v>1.1599999999999999</v>
          </cell>
          <cell r="K3922" t="str">
            <v>Low</v>
          </cell>
          <cell r="AB3922">
            <v>2</v>
          </cell>
        </row>
        <row r="3923">
          <cell r="B3923" t="str">
            <v>Dhanalakshmi S</v>
          </cell>
          <cell r="I3923" t="str">
            <v>Correct</v>
          </cell>
          <cell r="J3923">
            <v>0.91</v>
          </cell>
          <cell r="K3923" t="str">
            <v>Low</v>
          </cell>
          <cell r="AB3923">
            <v>1</v>
          </cell>
        </row>
        <row r="3924">
          <cell r="B3924" t="str">
            <v>Dhanalakshmi S</v>
          </cell>
          <cell r="I3924" t="str">
            <v>Correct</v>
          </cell>
          <cell r="J3924">
            <v>1.92</v>
          </cell>
          <cell r="K3924" t="str">
            <v>Low</v>
          </cell>
          <cell r="AB3924">
            <v>1.56</v>
          </cell>
        </row>
        <row r="3925">
          <cell r="B3925" t="str">
            <v>Dhanalakshmi S</v>
          </cell>
          <cell r="I3925" t="str">
            <v>Wrong</v>
          </cell>
          <cell r="J3925">
            <v>1.07</v>
          </cell>
          <cell r="K3925" t="str">
            <v>Low</v>
          </cell>
          <cell r="AB3925">
            <v>0</v>
          </cell>
        </row>
        <row r="3926">
          <cell r="B3926" t="str">
            <v>Dhanalakshmi S</v>
          </cell>
          <cell r="I3926" t="str">
            <v>Correct</v>
          </cell>
          <cell r="J3926">
            <v>1.82</v>
          </cell>
          <cell r="K3926" t="str">
            <v>Low</v>
          </cell>
          <cell r="AB3926">
            <v>0.82</v>
          </cell>
        </row>
        <row r="3927">
          <cell r="B3927" t="str">
            <v>Dhanalakshmi S</v>
          </cell>
          <cell r="I3927" t="str">
            <v>Correct</v>
          </cell>
          <cell r="J3927">
            <v>1.05</v>
          </cell>
          <cell r="K3927" t="str">
            <v>Low</v>
          </cell>
          <cell r="AB3927">
            <v>2</v>
          </cell>
        </row>
        <row r="3928">
          <cell r="B3928" t="str">
            <v>Dhanalakshmi S</v>
          </cell>
          <cell r="I3928" t="str">
            <v>Wrong</v>
          </cell>
          <cell r="J3928">
            <v>1.57</v>
          </cell>
          <cell r="K3928" t="str">
            <v>Low</v>
          </cell>
          <cell r="AB3928">
            <v>0</v>
          </cell>
        </row>
        <row r="3929">
          <cell r="B3929" t="str">
            <v>Dhanalakshmi S</v>
          </cell>
          <cell r="I3929" t="str">
            <v>Correct</v>
          </cell>
          <cell r="J3929">
            <v>1.94</v>
          </cell>
          <cell r="K3929" t="str">
            <v>Low</v>
          </cell>
          <cell r="AB3929">
            <v>1.55</v>
          </cell>
        </row>
        <row r="3930">
          <cell r="B3930" t="str">
            <v>Dhanalakshmi S</v>
          </cell>
          <cell r="I3930" t="str">
            <v>Correct</v>
          </cell>
          <cell r="J3930">
            <v>1.0900000000000001</v>
          </cell>
          <cell r="K3930" t="str">
            <v>Low</v>
          </cell>
          <cell r="AB3930">
            <v>2</v>
          </cell>
        </row>
        <row r="3931">
          <cell r="B3931" t="str">
            <v>Dhanalakshmi S</v>
          </cell>
          <cell r="I3931" t="str">
            <v>Wrong</v>
          </cell>
          <cell r="J3931">
            <v>1.77</v>
          </cell>
          <cell r="K3931" t="str">
            <v>Medium</v>
          </cell>
          <cell r="AB3931">
            <v>0</v>
          </cell>
        </row>
        <row r="3932">
          <cell r="B3932" t="str">
            <v>Dhanalakshmi S</v>
          </cell>
          <cell r="I3932" t="str">
            <v>Correct</v>
          </cell>
          <cell r="J3932">
            <v>1.25</v>
          </cell>
          <cell r="K3932" t="str">
            <v>Medium</v>
          </cell>
          <cell r="AB3932">
            <v>2</v>
          </cell>
        </row>
        <row r="3933">
          <cell r="B3933" t="str">
            <v>Dhanalakshmi S</v>
          </cell>
          <cell r="I3933" t="str">
            <v>Wrong</v>
          </cell>
          <cell r="J3933">
            <v>2.0499999999999998</v>
          </cell>
          <cell r="K3933" t="str">
            <v>Medium</v>
          </cell>
          <cell r="AB3933">
            <v>0</v>
          </cell>
        </row>
        <row r="3934">
          <cell r="B3934" t="str">
            <v>Dhanalakshmi S</v>
          </cell>
          <cell r="I3934" t="str">
            <v>Wrong</v>
          </cell>
          <cell r="J3934">
            <v>1.73</v>
          </cell>
          <cell r="K3934" t="str">
            <v>Medium</v>
          </cell>
          <cell r="AB3934">
            <v>0</v>
          </cell>
        </row>
        <row r="3935">
          <cell r="B3935" t="str">
            <v>Dhanalakshmi S</v>
          </cell>
          <cell r="I3935" t="str">
            <v>Wrong</v>
          </cell>
          <cell r="J3935">
            <v>1.35</v>
          </cell>
          <cell r="K3935" t="str">
            <v>Medium</v>
          </cell>
          <cell r="AB3935">
            <v>0</v>
          </cell>
        </row>
        <row r="3936">
          <cell r="B3936" t="str">
            <v>Dhanalakshmi S</v>
          </cell>
          <cell r="I3936" t="str">
            <v>Wrong</v>
          </cell>
          <cell r="J3936">
            <v>1.71</v>
          </cell>
          <cell r="K3936" t="str">
            <v>Medium</v>
          </cell>
          <cell r="AB3936">
            <v>0</v>
          </cell>
        </row>
        <row r="3937">
          <cell r="B3937" t="str">
            <v>Dhanalakshmi S</v>
          </cell>
          <cell r="I3937" t="str">
            <v>Wrong</v>
          </cell>
          <cell r="J3937">
            <v>2.33</v>
          </cell>
          <cell r="K3937" t="str">
            <v>High</v>
          </cell>
          <cell r="AB3937">
            <v>0</v>
          </cell>
        </row>
        <row r="3938">
          <cell r="B3938" t="str">
            <v>Dhanalakshmi S</v>
          </cell>
          <cell r="I3938" t="str">
            <v>Wrong</v>
          </cell>
          <cell r="J3938">
            <v>1.3</v>
          </cell>
          <cell r="K3938" t="str">
            <v>High</v>
          </cell>
          <cell r="AB3938">
            <v>0</v>
          </cell>
        </row>
        <row r="3939">
          <cell r="B3939" t="str">
            <v>Dhanalakshmi S</v>
          </cell>
          <cell r="I3939" t="str">
            <v>Wrong</v>
          </cell>
          <cell r="J3939">
            <v>1.89</v>
          </cell>
          <cell r="K3939" t="str">
            <v>High</v>
          </cell>
          <cell r="AB3939">
            <v>0</v>
          </cell>
        </row>
        <row r="3940">
          <cell r="B3940" t="str">
            <v>Dhanalakshmi S</v>
          </cell>
          <cell r="I3940" t="str">
            <v>Correct</v>
          </cell>
          <cell r="J3940">
            <v>2.52</v>
          </cell>
          <cell r="K3940" t="str">
            <v>High</v>
          </cell>
          <cell r="AB3940">
            <v>2.38</v>
          </cell>
        </row>
        <row r="3941">
          <cell r="B3941" t="str">
            <v>Dhanalakshmi S</v>
          </cell>
          <cell r="I3941" t="str">
            <v>Wrong</v>
          </cell>
          <cell r="J3941">
            <v>2.2200000000000002</v>
          </cell>
          <cell r="K3941" t="str">
            <v>High</v>
          </cell>
          <cell r="AB3941">
            <v>0</v>
          </cell>
        </row>
        <row r="3942">
          <cell r="B3942" t="str">
            <v>Kavinraj M</v>
          </cell>
          <cell r="I3942" t="str">
            <v>Correct</v>
          </cell>
          <cell r="J3942">
            <v>1.73</v>
          </cell>
          <cell r="K3942" t="str">
            <v>Low</v>
          </cell>
          <cell r="AB3942">
            <v>1.73</v>
          </cell>
        </row>
        <row r="3943">
          <cell r="B3943" t="str">
            <v>Kavinraj M</v>
          </cell>
          <cell r="I3943" t="str">
            <v>Correct</v>
          </cell>
          <cell r="J3943">
            <v>1.85</v>
          </cell>
          <cell r="K3943" t="str">
            <v>Low</v>
          </cell>
          <cell r="AB3943">
            <v>0.81</v>
          </cell>
        </row>
        <row r="3944">
          <cell r="B3944" t="str">
            <v>Kavinraj M</v>
          </cell>
          <cell r="I3944" t="str">
            <v>Correct</v>
          </cell>
          <cell r="J3944">
            <v>1.59</v>
          </cell>
          <cell r="K3944" t="str">
            <v>Low</v>
          </cell>
          <cell r="AB3944">
            <v>1.89</v>
          </cell>
        </row>
        <row r="3945">
          <cell r="B3945" t="str">
            <v>Kavinraj M</v>
          </cell>
          <cell r="I3945" t="str">
            <v>Correct</v>
          </cell>
          <cell r="J3945">
            <v>1.92</v>
          </cell>
          <cell r="K3945" t="str">
            <v>Low</v>
          </cell>
          <cell r="AB3945">
            <v>0.78</v>
          </cell>
        </row>
        <row r="3946">
          <cell r="B3946" t="str">
            <v>Kavinraj M</v>
          </cell>
          <cell r="I3946" t="str">
            <v>Correct</v>
          </cell>
          <cell r="J3946">
            <v>1.4</v>
          </cell>
          <cell r="K3946" t="str">
            <v>Low</v>
          </cell>
          <cell r="AB3946">
            <v>1</v>
          </cell>
        </row>
        <row r="3947">
          <cell r="B3947" t="str">
            <v>Kavinraj M</v>
          </cell>
          <cell r="I3947" t="str">
            <v>Correct</v>
          </cell>
          <cell r="J3947">
            <v>1.95</v>
          </cell>
          <cell r="K3947" t="str">
            <v>Low</v>
          </cell>
          <cell r="AB3947">
            <v>1.54</v>
          </cell>
        </row>
        <row r="3948">
          <cell r="B3948" t="str">
            <v>Kavinraj M</v>
          </cell>
          <cell r="I3948" t="str">
            <v>Correct</v>
          </cell>
          <cell r="J3948">
            <v>1.33</v>
          </cell>
          <cell r="K3948" t="str">
            <v>Low</v>
          </cell>
          <cell r="AB3948">
            <v>1</v>
          </cell>
        </row>
        <row r="3949">
          <cell r="B3949" t="str">
            <v>Kavinraj M</v>
          </cell>
          <cell r="I3949" t="str">
            <v>Wrong</v>
          </cell>
          <cell r="J3949">
            <v>1.63</v>
          </cell>
          <cell r="K3949" t="str">
            <v>Low</v>
          </cell>
          <cell r="AB3949">
            <v>0</v>
          </cell>
        </row>
        <row r="3950">
          <cell r="B3950" t="str">
            <v>Kavinraj M</v>
          </cell>
          <cell r="I3950" t="str">
            <v>Wrong</v>
          </cell>
          <cell r="J3950">
            <v>1.81</v>
          </cell>
          <cell r="K3950" t="str">
            <v>Low</v>
          </cell>
          <cell r="AB3950">
            <v>0</v>
          </cell>
        </row>
        <row r="3951">
          <cell r="B3951" t="str">
            <v>Kavinraj M</v>
          </cell>
          <cell r="I3951" t="str">
            <v>Wrong</v>
          </cell>
          <cell r="J3951">
            <v>2.0699999999999998</v>
          </cell>
          <cell r="K3951" t="str">
            <v>Medium</v>
          </cell>
          <cell r="AB3951">
            <v>0</v>
          </cell>
        </row>
        <row r="3952">
          <cell r="B3952" t="str">
            <v>Kavinraj M</v>
          </cell>
          <cell r="I3952" t="str">
            <v>Correct</v>
          </cell>
          <cell r="J3952">
            <v>2.16</v>
          </cell>
          <cell r="K3952" t="str">
            <v>Medium</v>
          </cell>
          <cell r="AB3952">
            <v>1.67</v>
          </cell>
        </row>
        <row r="3953">
          <cell r="B3953" t="str">
            <v>Kavinraj M</v>
          </cell>
          <cell r="I3953" t="str">
            <v>Wrong</v>
          </cell>
          <cell r="J3953">
            <v>1.76</v>
          </cell>
          <cell r="K3953" t="str">
            <v>Medium</v>
          </cell>
          <cell r="AB3953">
            <v>0</v>
          </cell>
        </row>
        <row r="3954">
          <cell r="B3954" t="str">
            <v>Kavinraj M</v>
          </cell>
          <cell r="I3954" t="str">
            <v>Wrong</v>
          </cell>
          <cell r="J3954">
            <v>1.54</v>
          </cell>
          <cell r="K3954" t="str">
            <v>Medium</v>
          </cell>
          <cell r="AB3954">
            <v>0</v>
          </cell>
        </row>
        <row r="3955">
          <cell r="B3955" t="str">
            <v>Kavinraj M</v>
          </cell>
          <cell r="I3955" t="str">
            <v>Wrong</v>
          </cell>
          <cell r="J3955">
            <v>1.55</v>
          </cell>
          <cell r="K3955" t="str">
            <v>Medium</v>
          </cell>
          <cell r="AB3955">
            <v>0</v>
          </cell>
        </row>
        <row r="3956">
          <cell r="B3956" t="str">
            <v>Kavinraj M</v>
          </cell>
          <cell r="I3956" t="str">
            <v>Correct</v>
          </cell>
          <cell r="J3956">
            <v>2.14</v>
          </cell>
          <cell r="K3956" t="str">
            <v>Medium</v>
          </cell>
          <cell r="AB3956">
            <v>1.68</v>
          </cell>
        </row>
        <row r="3957">
          <cell r="B3957" t="str">
            <v>Kavinraj M</v>
          </cell>
          <cell r="I3957" t="str">
            <v>Correct</v>
          </cell>
          <cell r="J3957">
            <v>2.0699999999999998</v>
          </cell>
          <cell r="K3957" t="str">
            <v>High</v>
          </cell>
          <cell r="AB3957">
            <v>2.9</v>
          </cell>
        </row>
        <row r="3958">
          <cell r="B3958" t="str">
            <v>Kavinraj M</v>
          </cell>
          <cell r="I3958" t="str">
            <v>Wrong</v>
          </cell>
          <cell r="J3958">
            <v>2.2599999999999998</v>
          </cell>
          <cell r="K3958" t="str">
            <v>High</v>
          </cell>
          <cell r="AB3958">
            <v>0</v>
          </cell>
        </row>
        <row r="3959">
          <cell r="B3959" t="str">
            <v>Kavinraj M</v>
          </cell>
          <cell r="I3959" t="str">
            <v>Correct</v>
          </cell>
          <cell r="J3959">
            <v>2.4300000000000002</v>
          </cell>
          <cell r="K3959" t="str">
            <v>High</v>
          </cell>
          <cell r="AB3959">
            <v>2.4700000000000002</v>
          </cell>
        </row>
        <row r="3960">
          <cell r="B3960" t="str">
            <v>Kavinraj M</v>
          </cell>
          <cell r="I3960" t="str">
            <v>Wrong</v>
          </cell>
          <cell r="J3960">
            <v>2.17</v>
          </cell>
          <cell r="K3960" t="str">
            <v>High</v>
          </cell>
          <cell r="AB3960">
            <v>0</v>
          </cell>
        </row>
        <row r="3961">
          <cell r="B3961" t="str">
            <v>Kavinraj M</v>
          </cell>
          <cell r="I3961" t="str">
            <v>Wrong</v>
          </cell>
          <cell r="J3961">
            <v>1.46</v>
          </cell>
          <cell r="K3961" t="str">
            <v>High</v>
          </cell>
          <cell r="AB3961">
            <v>0</v>
          </cell>
        </row>
        <row r="3962">
          <cell r="B3962" t="str">
            <v>Muthu Kumar</v>
          </cell>
          <cell r="I3962" t="str">
            <v>Correct</v>
          </cell>
          <cell r="J3962">
            <v>1.59</v>
          </cell>
          <cell r="K3962" t="str">
            <v>Low</v>
          </cell>
          <cell r="AB3962">
            <v>1.89</v>
          </cell>
        </row>
        <row r="3963">
          <cell r="B3963" t="str">
            <v>Muthu Kumar</v>
          </cell>
          <cell r="I3963" t="str">
            <v>Wrong</v>
          </cell>
          <cell r="J3963">
            <v>1.45</v>
          </cell>
          <cell r="K3963" t="str">
            <v>Low</v>
          </cell>
          <cell r="AB3963">
            <v>0</v>
          </cell>
        </row>
        <row r="3964">
          <cell r="B3964" t="str">
            <v>Muthu Kumar</v>
          </cell>
          <cell r="I3964" t="str">
            <v>Correct</v>
          </cell>
          <cell r="J3964">
            <v>1.65</v>
          </cell>
          <cell r="K3964" t="str">
            <v>Low</v>
          </cell>
          <cell r="AB3964">
            <v>1.82</v>
          </cell>
        </row>
        <row r="3965">
          <cell r="B3965" t="str">
            <v>Muthu Kumar</v>
          </cell>
          <cell r="I3965" t="str">
            <v>Correct</v>
          </cell>
          <cell r="J3965">
            <v>1.35</v>
          </cell>
          <cell r="K3965" t="str">
            <v>Low</v>
          </cell>
          <cell r="AB3965">
            <v>1</v>
          </cell>
        </row>
        <row r="3966">
          <cell r="B3966" t="str">
            <v>Muthu Kumar</v>
          </cell>
          <cell r="I3966" t="str">
            <v>Correct</v>
          </cell>
          <cell r="J3966">
            <v>1.69</v>
          </cell>
          <cell r="K3966" t="str">
            <v>Low</v>
          </cell>
          <cell r="AB3966">
            <v>0.89</v>
          </cell>
        </row>
        <row r="3967">
          <cell r="B3967" t="str">
            <v>Muthu Kumar</v>
          </cell>
          <cell r="I3967" t="str">
            <v>Correct</v>
          </cell>
          <cell r="J3967">
            <v>0.94</v>
          </cell>
          <cell r="K3967" t="str">
            <v>Low</v>
          </cell>
          <cell r="AB3967">
            <v>2</v>
          </cell>
        </row>
        <row r="3968">
          <cell r="B3968" t="str">
            <v>Muthu Kumar</v>
          </cell>
          <cell r="I3968" t="str">
            <v>Correct</v>
          </cell>
          <cell r="J3968">
            <v>1.49</v>
          </cell>
          <cell r="K3968" t="str">
            <v>Low</v>
          </cell>
          <cell r="AB3968">
            <v>1</v>
          </cell>
        </row>
        <row r="3969">
          <cell r="B3969" t="str">
            <v>Muthu Kumar</v>
          </cell>
          <cell r="I3969" t="str">
            <v>Wrong</v>
          </cell>
          <cell r="J3969">
            <v>1.84</v>
          </cell>
          <cell r="K3969" t="str">
            <v>Low</v>
          </cell>
          <cell r="AB3969">
            <v>0</v>
          </cell>
        </row>
        <row r="3970">
          <cell r="B3970" t="str">
            <v>Muthu Kumar</v>
          </cell>
          <cell r="I3970" t="str">
            <v>Correct</v>
          </cell>
          <cell r="J3970">
            <v>1.44</v>
          </cell>
          <cell r="K3970" t="str">
            <v>Low</v>
          </cell>
          <cell r="AB3970">
            <v>2</v>
          </cell>
        </row>
        <row r="3971">
          <cell r="B3971" t="str">
            <v>Muthu Kumar</v>
          </cell>
          <cell r="I3971" t="str">
            <v>Wrong</v>
          </cell>
          <cell r="J3971">
            <v>1.97</v>
          </cell>
          <cell r="K3971" t="str">
            <v>Medium</v>
          </cell>
          <cell r="AB3971">
            <v>0</v>
          </cell>
        </row>
        <row r="3972">
          <cell r="B3972" t="str">
            <v>Muthu Kumar</v>
          </cell>
          <cell r="I3972" t="str">
            <v>Correct</v>
          </cell>
          <cell r="J3972">
            <v>1.63</v>
          </cell>
          <cell r="K3972" t="str">
            <v>Medium</v>
          </cell>
          <cell r="AB3972">
            <v>2</v>
          </cell>
        </row>
        <row r="3973">
          <cell r="B3973" t="str">
            <v>Muthu Kumar</v>
          </cell>
          <cell r="I3973" t="str">
            <v>Wrong</v>
          </cell>
          <cell r="J3973">
            <v>1.69</v>
          </cell>
          <cell r="K3973" t="str">
            <v>Medium</v>
          </cell>
          <cell r="AB3973">
            <v>0</v>
          </cell>
        </row>
        <row r="3974">
          <cell r="B3974" t="str">
            <v>Muthu Kumar</v>
          </cell>
          <cell r="I3974" t="str">
            <v>Wrong</v>
          </cell>
          <cell r="J3974">
            <v>2.2000000000000002</v>
          </cell>
          <cell r="K3974" t="str">
            <v>Medium</v>
          </cell>
          <cell r="AB3974">
            <v>0</v>
          </cell>
        </row>
        <row r="3975">
          <cell r="B3975" t="str">
            <v>Muthu Kumar</v>
          </cell>
          <cell r="I3975" t="str">
            <v>Wrong</v>
          </cell>
          <cell r="J3975">
            <v>1.6</v>
          </cell>
          <cell r="K3975" t="str">
            <v>Medium</v>
          </cell>
          <cell r="AB3975">
            <v>0</v>
          </cell>
        </row>
        <row r="3976">
          <cell r="B3976" t="str">
            <v>Muthu Kumar</v>
          </cell>
          <cell r="I3976" t="str">
            <v>Wrong</v>
          </cell>
          <cell r="J3976">
            <v>1.1399999999999999</v>
          </cell>
          <cell r="K3976" t="str">
            <v>Medium</v>
          </cell>
          <cell r="AB3976">
            <v>0</v>
          </cell>
        </row>
        <row r="3977">
          <cell r="B3977" t="str">
            <v>Muthu Kumar</v>
          </cell>
          <cell r="I3977" t="str">
            <v>Correct</v>
          </cell>
          <cell r="J3977">
            <v>1.97</v>
          </cell>
          <cell r="K3977" t="str">
            <v>High</v>
          </cell>
          <cell r="AB3977">
            <v>3</v>
          </cell>
        </row>
        <row r="3978">
          <cell r="B3978" t="str">
            <v>Muthu Kumar</v>
          </cell>
          <cell r="I3978" t="str">
            <v>Wrong</v>
          </cell>
          <cell r="J3978">
            <v>1.46</v>
          </cell>
          <cell r="K3978" t="str">
            <v>High</v>
          </cell>
          <cell r="AB3978">
            <v>0</v>
          </cell>
        </row>
        <row r="3979">
          <cell r="B3979" t="str">
            <v>Muthu Kumar</v>
          </cell>
          <cell r="I3979" t="str">
            <v>Wrong</v>
          </cell>
          <cell r="J3979">
            <v>1.39</v>
          </cell>
          <cell r="K3979" t="str">
            <v>High</v>
          </cell>
          <cell r="AB3979">
            <v>0</v>
          </cell>
        </row>
        <row r="3980">
          <cell r="B3980" t="str">
            <v>Muthu Kumar</v>
          </cell>
          <cell r="I3980" t="str">
            <v>Wrong</v>
          </cell>
          <cell r="J3980">
            <v>1.49</v>
          </cell>
          <cell r="K3980" t="str">
            <v>High</v>
          </cell>
          <cell r="AB3980">
            <v>0</v>
          </cell>
        </row>
        <row r="3981">
          <cell r="B3981" t="str">
            <v>Muthu Kumar</v>
          </cell>
          <cell r="I3981" t="str">
            <v>Wrong</v>
          </cell>
          <cell r="J3981">
            <v>2.3199999999999998</v>
          </cell>
          <cell r="K3981" t="str">
            <v>High</v>
          </cell>
          <cell r="AB3981">
            <v>0</v>
          </cell>
        </row>
        <row r="3982">
          <cell r="B3982" t="str">
            <v>Revathi R</v>
          </cell>
          <cell r="I3982" t="str">
            <v>Correct</v>
          </cell>
          <cell r="J3982">
            <v>1.8</v>
          </cell>
          <cell r="K3982" t="str">
            <v>Low</v>
          </cell>
          <cell r="AB3982">
            <v>1.67</v>
          </cell>
        </row>
        <row r="3983">
          <cell r="B3983" t="str">
            <v>Revathi R</v>
          </cell>
          <cell r="I3983" t="str">
            <v>Correct</v>
          </cell>
          <cell r="J3983">
            <v>1.85</v>
          </cell>
          <cell r="K3983" t="str">
            <v>Low</v>
          </cell>
          <cell r="AB3983">
            <v>0.81</v>
          </cell>
        </row>
        <row r="3984">
          <cell r="B3984" t="str">
            <v>Revathi R</v>
          </cell>
          <cell r="I3984" t="str">
            <v>Correct</v>
          </cell>
          <cell r="J3984">
            <v>1.1499999999999999</v>
          </cell>
          <cell r="K3984" t="str">
            <v>Low</v>
          </cell>
          <cell r="AB3984">
            <v>2</v>
          </cell>
        </row>
        <row r="3985">
          <cell r="B3985" t="str">
            <v>Revathi R</v>
          </cell>
          <cell r="I3985" t="str">
            <v>Correct</v>
          </cell>
          <cell r="J3985">
            <v>1.68</v>
          </cell>
          <cell r="K3985" t="str">
            <v>Low</v>
          </cell>
          <cell r="AB3985">
            <v>0.89</v>
          </cell>
        </row>
        <row r="3986">
          <cell r="B3986" t="str">
            <v>Revathi R</v>
          </cell>
          <cell r="I3986" t="str">
            <v>Correct</v>
          </cell>
          <cell r="J3986">
            <v>1.45</v>
          </cell>
          <cell r="K3986" t="str">
            <v>Low</v>
          </cell>
          <cell r="AB3986">
            <v>1</v>
          </cell>
        </row>
        <row r="3987">
          <cell r="B3987" t="str">
            <v>Revathi R</v>
          </cell>
          <cell r="I3987" t="str">
            <v>Correct</v>
          </cell>
          <cell r="J3987">
            <v>1.55</v>
          </cell>
          <cell r="K3987" t="str">
            <v>Low</v>
          </cell>
          <cell r="AB3987">
            <v>1.94</v>
          </cell>
        </row>
        <row r="3988">
          <cell r="B3988" t="str">
            <v>Revathi R</v>
          </cell>
          <cell r="I3988" t="str">
            <v>Correct</v>
          </cell>
          <cell r="J3988">
            <v>1.43</v>
          </cell>
          <cell r="K3988" t="str">
            <v>Low</v>
          </cell>
          <cell r="AB3988">
            <v>1</v>
          </cell>
        </row>
        <row r="3989">
          <cell r="B3989" t="str">
            <v>Revathi R</v>
          </cell>
          <cell r="I3989" t="str">
            <v>Wrong</v>
          </cell>
          <cell r="J3989">
            <v>1.26</v>
          </cell>
          <cell r="K3989" t="str">
            <v>Low</v>
          </cell>
          <cell r="AB3989">
            <v>0</v>
          </cell>
        </row>
        <row r="3990">
          <cell r="B3990" t="str">
            <v>Revathi R</v>
          </cell>
          <cell r="I3990" t="str">
            <v>Correct</v>
          </cell>
          <cell r="J3990">
            <v>0.99</v>
          </cell>
          <cell r="K3990" t="str">
            <v>Low</v>
          </cell>
          <cell r="AB3990">
            <v>2</v>
          </cell>
        </row>
        <row r="3991">
          <cell r="B3991" t="str">
            <v>Revathi R</v>
          </cell>
          <cell r="I3991" t="str">
            <v>Wrong</v>
          </cell>
          <cell r="J3991">
            <v>1.79</v>
          </cell>
          <cell r="K3991" t="str">
            <v>Medium</v>
          </cell>
          <cell r="AB3991">
            <v>0</v>
          </cell>
        </row>
        <row r="3992">
          <cell r="B3992" t="str">
            <v>Revathi R</v>
          </cell>
          <cell r="I3992" t="str">
            <v>Correct</v>
          </cell>
          <cell r="J3992">
            <v>1.59</v>
          </cell>
          <cell r="K3992" t="str">
            <v>Medium</v>
          </cell>
          <cell r="AB3992">
            <v>2</v>
          </cell>
        </row>
        <row r="3993">
          <cell r="B3993" t="str">
            <v>Revathi R</v>
          </cell>
          <cell r="I3993" t="str">
            <v>Wrong</v>
          </cell>
          <cell r="J3993">
            <v>1.1200000000000001</v>
          </cell>
          <cell r="K3993" t="str">
            <v>Medium</v>
          </cell>
          <cell r="AB3993">
            <v>0</v>
          </cell>
        </row>
        <row r="3994">
          <cell r="B3994" t="str">
            <v>Revathi R</v>
          </cell>
          <cell r="I3994" t="str">
            <v>Correct</v>
          </cell>
          <cell r="J3994">
            <v>1.8</v>
          </cell>
          <cell r="K3994" t="str">
            <v>Medium</v>
          </cell>
          <cell r="AB3994">
            <v>2</v>
          </cell>
        </row>
        <row r="3995">
          <cell r="B3995" t="str">
            <v>Revathi R</v>
          </cell>
          <cell r="I3995" t="str">
            <v>Wrong</v>
          </cell>
          <cell r="J3995">
            <v>1.96</v>
          </cell>
          <cell r="K3995" t="str">
            <v>Medium</v>
          </cell>
          <cell r="AB3995">
            <v>0</v>
          </cell>
        </row>
        <row r="3996">
          <cell r="B3996" t="str">
            <v>Revathi R</v>
          </cell>
          <cell r="I3996" t="str">
            <v>Wrong</v>
          </cell>
          <cell r="J3996">
            <v>2.14</v>
          </cell>
          <cell r="K3996" t="str">
            <v>Medium</v>
          </cell>
          <cell r="AB3996">
            <v>0</v>
          </cell>
        </row>
        <row r="3997">
          <cell r="B3997" t="str">
            <v>Revathi R</v>
          </cell>
          <cell r="I3997" t="str">
            <v>Wrong</v>
          </cell>
          <cell r="J3997">
            <v>1.86</v>
          </cell>
          <cell r="K3997" t="str">
            <v>High</v>
          </cell>
          <cell r="AB3997">
            <v>0</v>
          </cell>
        </row>
        <row r="3998">
          <cell r="B3998" t="str">
            <v>Revathi R</v>
          </cell>
          <cell r="I3998" t="str">
            <v>Wrong</v>
          </cell>
          <cell r="J3998">
            <v>1.57</v>
          </cell>
          <cell r="K3998" t="str">
            <v>High</v>
          </cell>
          <cell r="AB3998">
            <v>0</v>
          </cell>
        </row>
        <row r="3999">
          <cell r="B3999" t="str">
            <v>Revathi R</v>
          </cell>
          <cell r="I3999" t="str">
            <v>Wrong</v>
          </cell>
          <cell r="J3999">
            <v>1.28</v>
          </cell>
          <cell r="K3999" t="str">
            <v>High</v>
          </cell>
          <cell r="AB3999">
            <v>0</v>
          </cell>
        </row>
        <row r="4000">
          <cell r="B4000" t="str">
            <v>Revathi R</v>
          </cell>
          <cell r="I4000" t="str">
            <v>Wrong</v>
          </cell>
          <cell r="J4000">
            <v>1.65</v>
          </cell>
          <cell r="K4000" t="str">
            <v>High</v>
          </cell>
          <cell r="AB4000">
            <v>0</v>
          </cell>
        </row>
        <row r="4001">
          <cell r="B4001" t="str">
            <v>Revathi R</v>
          </cell>
          <cell r="I4001" t="str">
            <v>Correct</v>
          </cell>
          <cell r="J4001">
            <v>2.31</v>
          </cell>
          <cell r="K4001" t="str">
            <v>High</v>
          </cell>
          <cell r="AB4001">
            <v>2.6</v>
          </cell>
        </row>
      </sheetData>
      <sheetData sheetId="1"/>
      <sheetData sheetId="2"/>
      <sheetData sheetId="3">
        <row r="7">
          <cell r="B7">
            <v>41</v>
          </cell>
        </row>
        <row r="8">
          <cell r="B8">
            <v>28.7</v>
          </cell>
        </row>
        <row r="9">
          <cell r="B9">
            <v>20.5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8A62-C403-4145-A8EC-DB0EE638CA35}">
  <dimension ref="A1:T201"/>
  <sheetViews>
    <sheetView tabSelected="1" workbookViewId="0">
      <selection activeCell="H22" sqref="H2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f t="shared" ref="D2:D65" si="0">F2</f>
        <v>20</v>
      </c>
      <c r="E2" s="2">
        <f t="shared" ref="E2:E65" si="1">ROUND(K2+N2+Q2,2)</f>
        <v>34.479999999999997</v>
      </c>
      <c r="F2">
        <f>COUNTIFS([1]Responses!$B$2:$B$4001,$A2)</f>
        <v>20</v>
      </c>
      <c r="G2">
        <f t="shared" ref="G2:H33" si="2">I2+L2+O2</f>
        <v>11</v>
      </c>
      <c r="H2">
        <f t="shared" si="2"/>
        <v>9</v>
      </c>
      <c r="I2">
        <f>COUNTIFS([1]Responses!$B$2:$B$4001,$A2,[1]Responses!$K$2:$K$4001,"High",[1]Responses!$I$2:$I$4001,"Correct")</f>
        <v>2</v>
      </c>
      <c r="J2">
        <f>COUNTIFS([1]Responses!$B$2:$B$4001,$A2,[1]Responses!$K$2:$K$4001,"High",[1]Responses!$I$2:$I$4001,"Wrong")</f>
        <v>3</v>
      </c>
      <c r="K2" s="2">
        <f>ROUND(SUMIFS([1]Responses!$J$2:$J$4001,[1]Responses!$B$2:$B$4001,$A2,[1]Responses!$K$2:$K$4001,"High"),2)</f>
        <v>11.14</v>
      </c>
      <c r="L2">
        <f>COUNTIFS([1]Responses!$B$2:$B$4001,$A2,[1]Responses!$K$2:$K$4001,"Medium",[1]Responses!$I$2:$I$4001,"Correct")</f>
        <v>5</v>
      </c>
      <c r="M2">
        <f>COUNTIFS([1]Responses!$B$2:$B$4001,$A2,[1]Responses!$K$2:$K$4001,"Medium",[1]Responses!$I$2:$I$4001,"Wrong")</f>
        <v>1</v>
      </c>
      <c r="N2" s="2">
        <f>ROUND(SUMIFS([1]Responses!$J$2:$J$4001,[1]Responses!$B$2:$B$4001,$A2,[1]Responses!$K$2:$K$4001,"Medium"),2)</f>
        <v>9.93</v>
      </c>
      <c r="O2">
        <f>COUNTIFS([1]Responses!$B$2:$B$4001,$A2,[1]Responses!$K$2:$K$4001,"Low",[1]Responses!$I$2:$I$4001,"Correct")</f>
        <v>4</v>
      </c>
      <c r="P2">
        <f>COUNTIFS([1]Responses!$B$2:$B$4001,$A2,[1]Responses!$K$2:$K$4001,"Low",[1]Responses!$I$2:$I$4001,"Wrong")</f>
        <v>5</v>
      </c>
      <c r="Q2" s="2">
        <f>ROUND(SUMIFS([1]Responses!$J$2:$J$4001,[1]Responses!$B$2:$B$4001,$A2,[1]Responses!$K$2:$K$4001,"Low"),2)</f>
        <v>13.41</v>
      </c>
      <c r="R2" s="2">
        <f>ROUND(SUMIFS([1]Responses!$AB$2:$AB$4001,[1]Responses!$B$2:$B$4001,$A2),2)</f>
        <v>21</v>
      </c>
      <c r="S2" t="str">
        <f>IF(R2&gt;='[1]Reward Model'!$B$8,"Gold",IF(R2&gt;='[1]Reward Model'!$B$9,"Silver","Bronze"))</f>
        <v>Silver</v>
      </c>
      <c r="T2" s="2">
        <f>ROUND(R2/'[1]Reward Model'!$B$7*100,2)</f>
        <v>51.22</v>
      </c>
    </row>
    <row r="3" spans="1:20" x14ac:dyDescent="0.25">
      <c r="A3" t="s">
        <v>23</v>
      </c>
      <c r="B3" t="s">
        <v>21</v>
      </c>
      <c r="C3" t="s">
        <v>22</v>
      </c>
      <c r="D3">
        <f t="shared" si="0"/>
        <v>20</v>
      </c>
      <c r="E3" s="2">
        <f t="shared" si="1"/>
        <v>33.5</v>
      </c>
      <c r="F3">
        <f>COUNTIFS([1]Responses!$B$2:$B$4001,$A3)</f>
        <v>20</v>
      </c>
      <c r="G3">
        <f t="shared" si="2"/>
        <v>15</v>
      </c>
      <c r="H3">
        <f t="shared" si="2"/>
        <v>5</v>
      </c>
      <c r="I3">
        <f>COUNTIFS([1]Responses!$B$2:$B$4001,$A3,[1]Responses!$K$2:$K$4001,"High",[1]Responses!$I$2:$I$4001,"Correct")</f>
        <v>2</v>
      </c>
      <c r="J3">
        <f>COUNTIFS([1]Responses!$B$2:$B$4001,$A3,[1]Responses!$K$2:$K$4001,"High",[1]Responses!$I$2:$I$4001,"Wrong")</f>
        <v>3</v>
      </c>
      <c r="K3" s="2">
        <f>ROUND(SUMIFS([1]Responses!$J$2:$J$4001,[1]Responses!$B$2:$B$4001,$A3,[1]Responses!$K$2:$K$4001,"High"),2)</f>
        <v>9.59</v>
      </c>
      <c r="L3">
        <f>COUNTIFS([1]Responses!$B$2:$B$4001,$A3,[1]Responses!$K$2:$K$4001,"Medium",[1]Responses!$I$2:$I$4001,"Correct")</f>
        <v>5</v>
      </c>
      <c r="M3">
        <f>COUNTIFS([1]Responses!$B$2:$B$4001,$A3,[1]Responses!$K$2:$K$4001,"Medium",[1]Responses!$I$2:$I$4001,"Wrong")</f>
        <v>1</v>
      </c>
      <c r="N3" s="2">
        <f>ROUND(SUMIFS([1]Responses!$J$2:$J$4001,[1]Responses!$B$2:$B$4001,$A3,[1]Responses!$K$2:$K$4001,"Medium"),2)</f>
        <v>10.54</v>
      </c>
      <c r="O3">
        <f>COUNTIFS([1]Responses!$B$2:$B$4001,$A3,[1]Responses!$K$2:$K$4001,"Low",[1]Responses!$I$2:$I$4001,"Correct")</f>
        <v>8</v>
      </c>
      <c r="P3">
        <f>COUNTIFS([1]Responses!$B$2:$B$4001,$A3,[1]Responses!$K$2:$K$4001,"Low",[1]Responses!$I$2:$I$4001,"Wrong")</f>
        <v>1</v>
      </c>
      <c r="Q3" s="2">
        <f>ROUND(SUMIFS([1]Responses!$J$2:$J$4001,[1]Responses!$B$2:$B$4001,$A3,[1]Responses!$K$2:$K$4001,"Low"),2)</f>
        <v>13.37</v>
      </c>
      <c r="R3" s="2">
        <f>ROUND(SUMIFS([1]Responses!$AB$2:$AB$4001,[1]Responses!$B$2:$B$4001,$A3),2)</f>
        <v>26.43</v>
      </c>
      <c r="S3" t="str">
        <f>IF(R3&gt;='[1]Reward Model'!$B$8,"Gold",IF(R3&gt;='[1]Reward Model'!$B$9,"Silver","Bronze"))</f>
        <v>Silver</v>
      </c>
      <c r="T3" s="2">
        <f>ROUND(R3/'[1]Reward Model'!$B$7*100,2)</f>
        <v>64.459999999999994</v>
      </c>
    </row>
    <row r="4" spans="1:20" x14ac:dyDescent="0.25">
      <c r="A4" t="s">
        <v>24</v>
      </c>
      <c r="B4" t="s">
        <v>21</v>
      </c>
      <c r="C4" t="s">
        <v>22</v>
      </c>
      <c r="D4">
        <f t="shared" si="0"/>
        <v>20</v>
      </c>
      <c r="E4" s="2">
        <f t="shared" si="1"/>
        <v>31.62</v>
      </c>
      <c r="F4">
        <f>COUNTIFS([1]Responses!$B$2:$B$4001,$A4)</f>
        <v>20</v>
      </c>
      <c r="G4">
        <f t="shared" si="2"/>
        <v>15</v>
      </c>
      <c r="H4">
        <f t="shared" si="2"/>
        <v>5</v>
      </c>
      <c r="I4">
        <f>COUNTIFS([1]Responses!$B$2:$B$4001,$A4,[1]Responses!$K$2:$K$4001,"High",[1]Responses!$I$2:$I$4001,"Correct")</f>
        <v>4</v>
      </c>
      <c r="J4">
        <f>COUNTIFS([1]Responses!$B$2:$B$4001,$A4,[1]Responses!$K$2:$K$4001,"High",[1]Responses!$I$2:$I$4001,"Wrong")</f>
        <v>1</v>
      </c>
      <c r="K4" s="2">
        <f>ROUND(SUMIFS([1]Responses!$J$2:$J$4001,[1]Responses!$B$2:$B$4001,$A4,[1]Responses!$K$2:$K$4001,"High"),2)</f>
        <v>9.34</v>
      </c>
      <c r="L4">
        <f>COUNTIFS([1]Responses!$B$2:$B$4001,$A4,[1]Responses!$K$2:$K$4001,"Medium",[1]Responses!$I$2:$I$4001,"Correct")</f>
        <v>5</v>
      </c>
      <c r="M4">
        <f>COUNTIFS([1]Responses!$B$2:$B$4001,$A4,[1]Responses!$K$2:$K$4001,"Medium",[1]Responses!$I$2:$I$4001,"Wrong")</f>
        <v>1</v>
      </c>
      <c r="N4" s="2">
        <f>ROUND(SUMIFS([1]Responses!$J$2:$J$4001,[1]Responses!$B$2:$B$4001,$A4,[1]Responses!$K$2:$K$4001,"Medium"),2)</f>
        <v>10.84</v>
      </c>
      <c r="O4">
        <f>COUNTIFS([1]Responses!$B$2:$B$4001,$A4,[1]Responses!$K$2:$K$4001,"Low",[1]Responses!$I$2:$I$4001,"Correct")</f>
        <v>6</v>
      </c>
      <c r="P4">
        <f>COUNTIFS([1]Responses!$B$2:$B$4001,$A4,[1]Responses!$K$2:$K$4001,"Low",[1]Responses!$I$2:$I$4001,"Wrong")</f>
        <v>3</v>
      </c>
      <c r="Q4" s="2">
        <f>ROUND(SUMIFS([1]Responses!$J$2:$J$4001,[1]Responses!$B$2:$B$4001,$A4,[1]Responses!$K$2:$K$4001,"Low"),2)</f>
        <v>11.44</v>
      </c>
      <c r="R4" s="2">
        <f>ROUND(SUMIFS([1]Responses!$AB$2:$AB$4001,[1]Responses!$B$2:$B$4001,$A4),2)</f>
        <v>29.89</v>
      </c>
      <c r="S4" t="str">
        <f>IF(R4&gt;='[1]Reward Model'!$B$8,"Gold",IF(R4&gt;='[1]Reward Model'!$B$9,"Silver","Bronze"))</f>
        <v>Gold</v>
      </c>
      <c r="T4" s="2">
        <f>ROUND(R4/'[1]Reward Model'!$B$7*100,2)</f>
        <v>72.900000000000006</v>
      </c>
    </row>
    <row r="5" spans="1:20" x14ac:dyDescent="0.25">
      <c r="A5" t="s">
        <v>25</v>
      </c>
      <c r="B5" t="s">
        <v>21</v>
      </c>
      <c r="C5" t="s">
        <v>22</v>
      </c>
      <c r="D5">
        <f t="shared" si="0"/>
        <v>20</v>
      </c>
      <c r="E5" s="2">
        <f t="shared" si="1"/>
        <v>33.61</v>
      </c>
      <c r="F5">
        <f>COUNTIFS([1]Responses!$B$2:$B$4001,$A5)</f>
        <v>20</v>
      </c>
      <c r="G5">
        <f t="shared" si="2"/>
        <v>14</v>
      </c>
      <c r="H5">
        <f t="shared" si="2"/>
        <v>6</v>
      </c>
      <c r="I5">
        <f>COUNTIFS([1]Responses!$B$2:$B$4001,$A5,[1]Responses!$K$2:$K$4001,"High",[1]Responses!$I$2:$I$4001,"Correct")</f>
        <v>4</v>
      </c>
      <c r="J5">
        <f>COUNTIFS([1]Responses!$B$2:$B$4001,$A5,[1]Responses!$K$2:$K$4001,"High",[1]Responses!$I$2:$I$4001,"Wrong")</f>
        <v>1</v>
      </c>
      <c r="K5" s="2">
        <f>ROUND(SUMIFS([1]Responses!$J$2:$J$4001,[1]Responses!$B$2:$B$4001,$A5,[1]Responses!$K$2:$K$4001,"High"),2)</f>
        <v>10.25</v>
      </c>
      <c r="L5">
        <f>COUNTIFS([1]Responses!$B$2:$B$4001,$A5,[1]Responses!$K$2:$K$4001,"Medium",[1]Responses!$I$2:$I$4001,"Correct")</f>
        <v>4</v>
      </c>
      <c r="M5">
        <f>COUNTIFS([1]Responses!$B$2:$B$4001,$A5,[1]Responses!$K$2:$K$4001,"Medium",[1]Responses!$I$2:$I$4001,"Wrong")</f>
        <v>2</v>
      </c>
      <c r="N5" s="2">
        <f>ROUND(SUMIFS([1]Responses!$J$2:$J$4001,[1]Responses!$B$2:$B$4001,$A5,[1]Responses!$K$2:$K$4001,"Medium"),2)</f>
        <v>11.23</v>
      </c>
      <c r="O5">
        <f>COUNTIFS([1]Responses!$B$2:$B$4001,$A5,[1]Responses!$K$2:$K$4001,"Low",[1]Responses!$I$2:$I$4001,"Correct")</f>
        <v>6</v>
      </c>
      <c r="P5">
        <f>COUNTIFS([1]Responses!$B$2:$B$4001,$A5,[1]Responses!$K$2:$K$4001,"Low",[1]Responses!$I$2:$I$4001,"Wrong")</f>
        <v>3</v>
      </c>
      <c r="Q5" s="2">
        <f>ROUND(SUMIFS([1]Responses!$J$2:$J$4001,[1]Responses!$B$2:$B$4001,$A5,[1]Responses!$K$2:$K$4001,"Low"),2)</f>
        <v>12.13</v>
      </c>
      <c r="R5" s="2">
        <f>ROUND(SUMIFS([1]Responses!$AB$2:$AB$4001,[1]Responses!$B$2:$B$4001,$A5),2)</f>
        <v>28.61</v>
      </c>
      <c r="S5" t="str">
        <f>IF(R5&gt;='[1]Reward Model'!$B$8,"Gold",IF(R5&gt;='[1]Reward Model'!$B$9,"Silver","Bronze"))</f>
        <v>Silver</v>
      </c>
      <c r="T5" s="2">
        <f>ROUND(R5/'[1]Reward Model'!$B$7*100,2)</f>
        <v>69.78</v>
      </c>
    </row>
    <row r="6" spans="1:20" x14ac:dyDescent="0.25">
      <c r="A6" t="s">
        <v>26</v>
      </c>
      <c r="B6" t="s">
        <v>21</v>
      </c>
      <c r="C6" t="s">
        <v>22</v>
      </c>
      <c r="D6">
        <f t="shared" si="0"/>
        <v>20</v>
      </c>
      <c r="E6" s="2">
        <f t="shared" si="1"/>
        <v>33.69</v>
      </c>
      <c r="F6">
        <f>COUNTIFS([1]Responses!$B$2:$B$4001,$A6)</f>
        <v>20</v>
      </c>
      <c r="G6">
        <f t="shared" si="2"/>
        <v>15</v>
      </c>
      <c r="H6">
        <f t="shared" si="2"/>
        <v>5</v>
      </c>
      <c r="I6">
        <f>COUNTIFS([1]Responses!$B$2:$B$4001,$A6,[1]Responses!$K$2:$K$4001,"High",[1]Responses!$I$2:$I$4001,"Correct")</f>
        <v>3</v>
      </c>
      <c r="J6">
        <f>COUNTIFS([1]Responses!$B$2:$B$4001,$A6,[1]Responses!$K$2:$K$4001,"High",[1]Responses!$I$2:$I$4001,"Wrong")</f>
        <v>2</v>
      </c>
      <c r="K6" s="2">
        <f>ROUND(SUMIFS([1]Responses!$J$2:$J$4001,[1]Responses!$B$2:$B$4001,$A6,[1]Responses!$K$2:$K$4001,"High"),2)</f>
        <v>8.77</v>
      </c>
      <c r="L6">
        <f>COUNTIFS([1]Responses!$B$2:$B$4001,$A6,[1]Responses!$K$2:$K$4001,"Medium",[1]Responses!$I$2:$I$4001,"Correct")</f>
        <v>4</v>
      </c>
      <c r="M6">
        <f>COUNTIFS([1]Responses!$B$2:$B$4001,$A6,[1]Responses!$K$2:$K$4001,"Medium",[1]Responses!$I$2:$I$4001,"Wrong")</f>
        <v>2</v>
      </c>
      <c r="N6" s="2">
        <f>ROUND(SUMIFS([1]Responses!$J$2:$J$4001,[1]Responses!$B$2:$B$4001,$A6,[1]Responses!$K$2:$K$4001,"Medium"),2)</f>
        <v>10.54</v>
      </c>
      <c r="O6">
        <f>COUNTIFS([1]Responses!$B$2:$B$4001,$A6,[1]Responses!$K$2:$K$4001,"Low",[1]Responses!$I$2:$I$4001,"Correct")</f>
        <v>8</v>
      </c>
      <c r="P6">
        <f>COUNTIFS([1]Responses!$B$2:$B$4001,$A6,[1]Responses!$K$2:$K$4001,"Low",[1]Responses!$I$2:$I$4001,"Wrong")</f>
        <v>1</v>
      </c>
      <c r="Q6" s="2">
        <f>ROUND(SUMIFS([1]Responses!$J$2:$J$4001,[1]Responses!$B$2:$B$4001,$A6,[1]Responses!$K$2:$K$4001,"Low"),2)</f>
        <v>14.38</v>
      </c>
      <c r="R6" s="2">
        <f>ROUND(SUMIFS([1]Responses!$AB$2:$AB$4001,[1]Responses!$B$2:$B$4001,$A6),2)</f>
        <v>27.4</v>
      </c>
      <c r="S6" t="str">
        <f>IF(R6&gt;='[1]Reward Model'!$B$8,"Gold",IF(R6&gt;='[1]Reward Model'!$B$9,"Silver","Bronze"))</f>
        <v>Silver</v>
      </c>
      <c r="T6" s="2">
        <f>ROUND(R6/'[1]Reward Model'!$B$7*100,2)</f>
        <v>66.83</v>
      </c>
    </row>
    <row r="7" spans="1:20" x14ac:dyDescent="0.25">
      <c r="A7" t="s">
        <v>27</v>
      </c>
      <c r="B7" t="s">
        <v>21</v>
      </c>
      <c r="C7" t="s">
        <v>22</v>
      </c>
      <c r="D7">
        <f t="shared" si="0"/>
        <v>20</v>
      </c>
      <c r="E7" s="2">
        <f t="shared" si="1"/>
        <v>34.35</v>
      </c>
      <c r="F7">
        <f>COUNTIFS([1]Responses!$B$2:$B$4001,$A7)</f>
        <v>20</v>
      </c>
      <c r="G7">
        <f t="shared" si="2"/>
        <v>16</v>
      </c>
      <c r="H7">
        <f t="shared" si="2"/>
        <v>4</v>
      </c>
      <c r="I7">
        <f>COUNTIFS([1]Responses!$B$2:$B$4001,$A7,[1]Responses!$K$2:$K$4001,"High",[1]Responses!$I$2:$I$4001,"Correct")</f>
        <v>3</v>
      </c>
      <c r="J7">
        <f>COUNTIFS([1]Responses!$B$2:$B$4001,$A7,[1]Responses!$K$2:$K$4001,"High",[1]Responses!$I$2:$I$4001,"Wrong")</f>
        <v>2</v>
      </c>
      <c r="K7" s="2">
        <f>ROUND(SUMIFS([1]Responses!$J$2:$J$4001,[1]Responses!$B$2:$B$4001,$A7,[1]Responses!$K$2:$K$4001,"High"),2)</f>
        <v>10.35</v>
      </c>
      <c r="L7">
        <f>COUNTIFS([1]Responses!$B$2:$B$4001,$A7,[1]Responses!$K$2:$K$4001,"Medium",[1]Responses!$I$2:$I$4001,"Correct")</f>
        <v>5</v>
      </c>
      <c r="M7">
        <f>COUNTIFS([1]Responses!$B$2:$B$4001,$A7,[1]Responses!$K$2:$K$4001,"Medium",[1]Responses!$I$2:$I$4001,"Wrong")</f>
        <v>1</v>
      </c>
      <c r="N7" s="2">
        <f>ROUND(SUMIFS([1]Responses!$J$2:$J$4001,[1]Responses!$B$2:$B$4001,$A7,[1]Responses!$K$2:$K$4001,"Medium"),2)</f>
        <v>10.67</v>
      </c>
      <c r="O7">
        <f>COUNTIFS([1]Responses!$B$2:$B$4001,$A7,[1]Responses!$K$2:$K$4001,"Low",[1]Responses!$I$2:$I$4001,"Correct")</f>
        <v>8</v>
      </c>
      <c r="P7">
        <f>COUNTIFS([1]Responses!$B$2:$B$4001,$A7,[1]Responses!$K$2:$K$4001,"Low",[1]Responses!$I$2:$I$4001,"Wrong")</f>
        <v>1</v>
      </c>
      <c r="Q7" s="2">
        <f>ROUND(SUMIFS([1]Responses!$J$2:$J$4001,[1]Responses!$B$2:$B$4001,$A7,[1]Responses!$K$2:$K$4001,"Low"),2)</f>
        <v>13.33</v>
      </c>
      <c r="R7" s="2">
        <f>ROUND(SUMIFS([1]Responses!$AB$2:$AB$4001,[1]Responses!$B$2:$B$4001,$A7),2)</f>
        <v>29.06</v>
      </c>
      <c r="S7" t="str">
        <f>IF(R7&gt;='[1]Reward Model'!$B$8,"Gold",IF(R7&gt;='[1]Reward Model'!$B$9,"Silver","Bronze"))</f>
        <v>Gold</v>
      </c>
      <c r="T7" s="2">
        <f>ROUND(R7/'[1]Reward Model'!$B$7*100,2)</f>
        <v>70.88</v>
      </c>
    </row>
    <row r="8" spans="1:20" x14ac:dyDescent="0.25">
      <c r="A8" t="s">
        <v>28</v>
      </c>
      <c r="B8" t="s">
        <v>21</v>
      </c>
      <c r="C8" t="s">
        <v>22</v>
      </c>
      <c r="D8">
        <f t="shared" si="0"/>
        <v>20</v>
      </c>
      <c r="E8" s="2">
        <f t="shared" si="1"/>
        <v>31.34</v>
      </c>
      <c r="F8">
        <f>COUNTIFS([1]Responses!$B$2:$B$4001,$A8)</f>
        <v>20</v>
      </c>
      <c r="G8">
        <f t="shared" si="2"/>
        <v>14</v>
      </c>
      <c r="H8">
        <f t="shared" si="2"/>
        <v>6</v>
      </c>
      <c r="I8">
        <f>COUNTIFS([1]Responses!$B$2:$B$4001,$A8,[1]Responses!$K$2:$K$4001,"High",[1]Responses!$I$2:$I$4001,"Correct")</f>
        <v>2</v>
      </c>
      <c r="J8">
        <f>COUNTIFS([1]Responses!$B$2:$B$4001,$A8,[1]Responses!$K$2:$K$4001,"High",[1]Responses!$I$2:$I$4001,"Wrong")</f>
        <v>3</v>
      </c>
      <c r="K8" s="2">
        <f>ROUND(SUMIFS([1]Responses!$J$2:$J$4001,[1]Responses!$B$2:$B$4001,$A8,[1]Responses!$K$2:$K$4001,"High"),2)</f>
        <v>10.050000000000001</v>
      </c>
      <c r="L8">
        <f>COUNTIFS([1]Responses!$B$2:$B$4001,$A8,[1]Responses!$K$2:$K$4001,"Medium",[1]Responses!$I$2:$I$4001,"Correct")</f>
        <v>5</v>
      </c>
      <c r="M8">
        <f>COUNTIFS([1]Responses!$B$2:$B$4001,$A8,[1]Responses!$K$2:$K$4001,"Medium",[1]Responses!$I$2:$I$4001,"Wrong")</f>
        <v>1</v>
      </c>
      <c r="N8" s="2">
        <f>ROUND(SUMIFS([1]Responses!$J$2:$J$4001,[1]Responses!$B$2:$B$4001,$A8,[1]Responses!$K$2:$K$4001,"Medium"),2)</f>
        <v>8.83</v>
      </c>
      <c r="O8">
        <f>COUNTIFS([1]Responses!$B$2:$B$4001,$A8,[1]Responses!$K$2:$K$4001,"Low",[1]Responses!$I$2:$I$4001,"Correct")</f>
        <v>7</v>
      </c>
      <c r="P8">
        <f>COUNTIFS([1]Responses!$B$2:$B$4001,$A8,[1]Responses!$K$2:$K$4001,"Low",[1]Responses!$I$2:$I$4001,"Wrong")</f>
        <v>2</v>
      </c>
      <c r="Q8" s="2">
        <f>ROUND(SUMIFS([1]Responses!$J$2:$J$4001,[1]Responses!$B$2:$B$4001,$A8,[1]Responses!$K$2:$K$4001,"Low"),2)</f>
        <v>12.46</v>
      </c>
      <c r="R8" s="2">
        <f>ROUND(SUMIFS([1]Responses!$AB$2:$AB$4001,[1]Responses!$B$2:$B$4001,$A8),2)</f>
        <v>25.83</v>
      </c>
      <c r="S8" t="str">
        <f>IF(R8&gt;='[1]Reward Model'!$B$8,"Gold",IF(R8&gt;='[1]Reward Model'!$B$9,"Silver","Bronze"))</f>
        <v>Silver</v>
      </c>
      <c r="T8" s="2">
        <f>ROUND(R8/'[1]Reward Model'!$B$7*100,2)</f>
        <v>63</v>
      </c>
    </row>
    <row r="9" spans="1:20" x14ac:dyDescent="0.25">
      <c r="A9" t="s">
        <v>29</v>
      </c>
      <c r="B9" t="s">
        <v>21</v>
      </c>
      <c r="C9" t="s">
        <v>22</v>
      </c>
      <c r="D9">
        <f t="shared" si="0"/>
        <v>20</v>
      </c>
      <c r="E9" s="2">
        <f t="shared" si="1"/>
        <v>33.479999999999997</v>
      </c>
      <c r="F9">
        <f>COUNTIFS([1]Responses!$B$2:$B$4001,$A9)</f>
        <v>20</v>
      </c>
      <c r="G9">
        <f t="shared" si="2"/>
        <v>11</v>
      </c>
      <c r="H9">
        <f t="shared" si="2"/>
        <v>9</v>
      </c>
      <c r="I9">
        <f>COUNTIFS([1]Responses!$B$2:$B$4001,$A9,[1]Responses!$K$2:$K$4001,"High",[1]Responses!$I$2:$I$4001,"Correct")</f>
        <v>1</v>
      </c>
      <c r="J9">
        <f>COUNTIFS([1]Responses!$B$2:$B$4001,$A9,[1]Responses!$K$2:$K$4001,"High",[1]Responses!$I$2:$I$4001,"Wrong")</f>
        <v>4</v>
      </c>
      <c r="K9" s="2">
        <f>ROUND(SUMIFS([1]Responses!$J$2:$J$4001,[1]Responses!$B$2:$B$4001,$A9,[1]Responses!$K$2:$K$4001,"High"),2)</f>
        <v>10.64</v>
      </c>
      <c r="L9">
        <f>COUNTIFS([1]Responses!$B$2:$B$4001,$A9,[1]Responses!$K$2:$K$4001,"Medium",[1]Responses!$I$2:$I$4001,"Correct")</f>
        <v>3</v>
      </c>
      <c r="M9">
        <f>COUNTIFS([1]Responses!$B$2:$B$4001,$A9,[1]Responses!$K$2:$K$4001,"Medium",[1]Responses!$I$2:$I$4001,"Wrong")</f>
        <v>3</v>
      </c>
      <c r="N9" s="2">
        <f>ROUND(SUMIFS([1]Responses!$J$2:$J$4001,[1]Responses!$B$2:$B$4001,$A9,[1]Responses!$K$2:$K$4001,"Medium"),2)</f>
        <v>10.16</v>
      </c>
      <c r="O9">
        <f>COUNTIFS([1]Responses!$B$2:$B$4001,$A9,[1]Responses!$K$2:$K$4001,"Low",[1]Responses!$I$2:$I$4001,"Correct")</f>
        <v>7</v>
      </c>
      <c r="P9">
        <f>COUNTIFS([1]Responses!$B$2:$B$4001,$A9,[1]Responses!$K$2:$K$4001,"Low",[1]Responses!$I$2:$I$4001,"Wrong")</f>
        <v>2</v>
      </c>
      <c r="Q9" s="2">
        <f>ROUND(SUMIFS([1]Responses!$J$2:$J$4001,[1]Responses!$B$2:$B$4001,$A9,[1]Responses!$K$2:$K$4001,"Low"),2)</f>
        <v>12.68</v>
      </c>
      <c r="R9" s="2">
        <f>ROUND(SUMIFS([1]Responses!$AB$2:$AB$4001,[1]Responses!$B$2:$B$4001,$A9),2)</f>
        <v>18.39</v>
      </c>
      <c r="S9" t="str">
        <f>IF(R9&gt;='[1]Reward Model'!$B$8,"Gold",IF(R9&gt;='[1]Reward Model'!$B$9,"Silver","Bronze"))</f>
        <v>Bronze</v>
      </c>
      <c r="T9" s="2">
        <f>ROUND(R9/'[1]Reward Model'!$B$7*100,2)</f>
        <v>44.85</v>
      </c>
    </row>
    <row r="10" spans="1:20" x14ac:dyDescent="0.25">
      <c r="A10" t="s">
        <v>30</v>
      </c>
      <c r="B10" t="s">
        <v>21</v>
      </c>
      <c r="C10" t="s">
        <v>22</v>
      </c>
      <c r="D10">
        <f t="shared" si="0"/>
        <v>20</v>
      </c>
      <c r="E10" s="2">
        <f t="shared" si="1"/>
        <v>34.93</v>
      </c>
      <c r="F10">
        <f>COUNTIFS([1]Responses!$B$2:$B$4001,$A10)</f>
        <v>20</v>
      </c>
      <c r="G10">
        <f t="shared" si="2"/>
        <v>11</v>
      </c>
      <c r="H10">
        <f t="shared" si="2"/>
        <v>9</v>
      </c>
      <c r="I10">
        <f>COUNTIFS([1]Responses!$B$2:$B$4001,$A10,[1]Responses!$K$2:$K$4001,"High",[1]Responses!$I$2:$I$4001,"Correct")</f>
        <v>1</v>
      </c>
      <c r="J10">
        <f>COUNTIFS([1]Responses!$B$2:$B$4001,$A10,[1]Responses!$K$2:$K$4001,"High",[1]Responses!$I$2:$I$4001,"Wrong")</f>
        <v>4</v>
      </c>
      <c r="K10" s="2">
        <f>ROUND(SUMIFS([1]Responses!$J$2:$J$4001,[1]Responses!$B$2:$B$4001,$A10,[1]Responses!$K$2:$K$4001,"High"),2)</f>
        <v>9.4700000000000006</v>
      </c>
      <c r="L10">
        <f>COUNTIFS([1]Responses!$B$2:$B$4001,$A10,[1]Responses!$K$2:$K$4001,"Medium",[1]Responses!$I$2:$I$4001,"Correct")</f>
        <v>4</v>
      </c>
      <c r="M10">
        <f>COUNTIFS([1]Responses!$B$2:$B$4001,$A10,[1]Responses!$K$2:$K$4001,"Medium",[1]Responses!$I$2:$I$4001,"Wrong")</f>
        <v>2</v>
      </c>
      <c r="N10" s="2">
        <f>ROUND(SUMIFS([1]Responses!$J$2:$J$4001,[1]Responses!$B$2:$B$4001,$A10,[1]Responses!$K$2:$K$4001,"Medium"),2)</f>
        <v>9.9</v>
      </c>
      <c r="O10">
        <f>COUNTIFS([1]Responses!$B$2:$B$4001,$A10,[1]Responses!$K$2:$K$4001,"Low",[1]Responses!$I$2:$I$4001,"Correct")</f>
        <v>6</v>
      </c>
      <c r="P10">
        <f>COUNTIFS([1]Responses!$B$2:$B$4001,$A10,[1]Responses!$K$2:$K$4001,"Low",[1]Responses!$I$2:$I$4001,"Wrong")</f>
        <v>3</v>
      </c>
      <c r="Q10" s="2">
        <f>ROUND(SUMIFS([1]Responses!$J$2:$J$4001,[1]Responses!$B$2:$B$4001,$A10,[1]Responses!$K$2:$K$4001,"Low"),2)</f>
        <v>15.56</v>
      </c>
      <c r="R10" s="2">
        <f>ROUND(SUMIFS([1]Responses!$AB$2:$AB$4001,[1]Responses!$B$2:$B$4001,$A10),2)</f>
        <v>17.36</v>
      </c>
      <c r="S10" t="str">
        <f>IF(R10&gt;='[1]Reward Model'!$B$8,"Gold",IF(R10&gt;='[1]Reward Model'!$B$9,"Silver","Bronze"))</f>
        <v>Bronze</v>
      </c>
      <c r="T10" s="2">
        <f>ROUND(R10/'[1]Reward Model'!$B$7*100,2)</f>
        <v>42.34</v>
      </c>
    </row>
    <row r="11" spans="1:20" x14ac:dyDescent="0.25">
      <c r="A11" t="s">
        <v>31</v>
      </c>
      <c r="B11" t="s">
        <v>21</v>
      </c>
      <c r="C11" t="s">
        <v>22</v>
      </c>
      <c r="D11">
        <f t="shared" si="0"/>
        <v>20</v>
      </c>
      <c r="E11" s="2">
        <f t="shared" si="1"/>
        <v>32.229999999999997</v>
      </c>
      <c r="F11">
        <f>COUNTIFS([1]Responses!$B$2:$B$4001,$A11)</f>
        <v>20</v>
      </c>
      <c r="G11">
        <f t="shared" si="2"/>
        <v>12</v>
      </c>
      <c r="H11">
        <f t="shared" si="2"/>
        <v>8</v>
      </c>
      <c r="I11">
        <f>COUNTIFS([1]Responses!$B$2:$B$4001,$A11,[1]Responses!$K$2:$K$4001,"High",[1]Responses!$I$2:$I$4001,"Correct")</f>
        <v>2</v>
      </c>
      <c r="J11">
        <f>COUNTIFS([1]Responses!$B$2:$B$4001,$A11,[1]Responses!$K$2:$K$4001,"High",[1]Responses!$I$2:$I$4001,"Wrong")</f>
        <v>3</v>
      </c>
      <c r="K11" s="2">
        <f>ROUND(SUMIFS([1]Responses!$J$2:$J$4001,[1]Responses!$B$2:$B$4001,$A11,[1]Responses!$K$2:$K$4001,"High"),2)</f>
        <v>8.9</v>
      </c>
      <c r="L11">
        <f>COUNTIFS([1]Responses!$B$2:$B$4001,$A11,[1]Responses!$K$2:$K$4001,"Medium",[1]Responses!$I$2:$I$4001,"Correct")</f>
        <v>3</v>
      </c>
      <c r="M11">
        <f>COUNTIFS([1]Responses!$B$2:$B$4001,$A11,[1]Responses!$K$2:$K$4001,"Medium",[1]Responses!$I$2:$I$4001,"Wrong")</f>
        <v>3</v>
      </c>
      <c r="N11" s="2">
        <f>ROUND(SUMIFS([1]Responses!$J$2:$J$4001,[1]Responses!$B$2:$B$4001,$A11,[1]Responses!$K$2:$K$4001,"Medium"),2)</f>
        <v>10.199999999999999</v>
      </c>
      <c r="O11">
        <f>COUNTIFS([1]Responses!$B$2:$B$4001,$A11,[1]Responses!$K$2:$K$4001,"Low",[1]Responses!$I$2:$I$4001,"Correct")</f>
        <v>7</v>
      </c>
      <c r="P11">
        <f>COUNTIFS([1]Responses!$B$2:$B$4001,$A11,[1]Responses!$K$2:$K$4001,"Low",[1]Responses!$I$2:$I$4001,"Wrong")</f>
        <v>2</v>
      </c>
      <c r="Q11" s="2">
        <f>ROUND(SUMIFS([1]Responses!$J$2:$J$4001,[1]Responses!$B$2:$B$4001,$A11,[1]Responses!$K$2:$K$4001,"Low"),2)</f>
        <v>13.13</v>
      </c>
      <c r="R11" s="2">
        <f>ROUND(SUMIFS([1]Responses!$AB$2:$AB$4001,[1]Responses!$B$2:$B$4001,$A11),2)</f>
        <v>22.04</v>
      </c>
      <c r="S11" t="str">
        <f>IF(R11&gt;='[1]Reward Model'!$B$8,"Gold",IF(R11&gt;='[1]Reward Model'!$B$9,"Silver","Bronze"))</f>
        <v>Silver</v>
      </c>
      <c r="T11" s="2">
        <f>ROUND(R11/'[1]Reward Model'!$B$7*100,2)</f>
        <v>53.76</v>
      </c>
    </row>
    <row r="12" spans="1:20" x14ac:dyDescent="0.25">
      <c r="A12" t="s">
        <v>32</v>
      </c>
      <c r="B12" t="s">
        <v>21</v>
      </c>
      <c r="C12" t="s">
        <v>22</v>
      </c>
      <c r="D12">
        <f t="shared" si="0"/>
        <v>20</v>
      </c>
      <c r="E12" s="2">
        <f t="shared" si="1"/>
        <v>32.69</v>
      </c>
      <c r="F12">
        <f>COUNTIFS([1]Responses!$B$2:$B$4001,$A12)</f>
        <v>20</v>
      </c>
      <c r="G12">
        <f t="shared" si="2"/>
        <v>13</v>
      </c>
      <c r="H12">
        <f t="shared" si="2"/>
        <v>7</v>
      </c>
      <c r="I12">
        <f>COUNTIFS([1]Responses!$B$2:$B$4001,$A12,[1]Responses!$K$2:$K$4001,"High",[1]Responses!$I$2:$I$4001,"Correct")</f>
        <v>1</v>
      </c>
      <c r="J12">
        <f>COUNTIFS([1]Responses!$B$2:$B$4001,$A12,[1]Responses!$K$2:$K$4001,"High",[1]Responses!$I$2:$I$4001,"Wrong")</f>
        <v>4</v>
      </c>
      <c r="K12" s="2">
        <f>ROUND(SUMIFS([1]Responses!$J$2:$J$4001,[1]Responses!$B$2:$B$4001,$A12,[1]Responses!$K$2:$K$4001,"High"),2)</f>
        <v>9.91</v>
      </c>
      <c r="L12">
        <f>COUNTIFS([1]Responses!$B$2:$B$4001,$A12,[1]Responses!$K$2:$K$4001,"Medium",[1]Responses!$I$2:$I$4001,"Correct")</f>
        <v>4</v>
      </c>
      <c r="M12">
        <f>COUNTIFS([1]Responses!$B$2:$B$4001,$A12,[1]Responses!$K$2:$K$4001,"Medium",[1]Responses!$I$2:$I$4001,"Wrong")</f>
        <v>2</v>
      </c>
      <c r="N12" s="2">
        <f>ROUND(SUMIFS([1]Responses!$J$2:$J$4001,[1]Responses!$B$2:$B$4001,$A12,[1]Responses!$K$2:$K$4001,"Medium"),2)</f>
        <v>10.06</v>
      </c>
      <c r="O12">
        <f>COUNTIFS([1]Responses!$B$2:$B$4001,$A12,[1]Responses!$K$2:$K$4001,"Low",[1]Responses!$I$2:$I$4001,"Correct")</f>
        <v>8</v>
      </c>
      <c r="P12">
        <f>COUNTIFS([1]Responses!$B$2:$B$4001,$A12,[1]Responses!$K$2:$K$4001,"Low",[1]Responses!$I$2:$I$4001,"Wrong")</f>
        <v>1</v>
      </c>
      <c r="Q12" s="2">
        <f>ROUND(SUMIFS([1]Responses!$J$2:$J$4001,[1]Responses!$B$2:$B$4001,$A12,[1]Responses!$K$2:$K$4001,"Low"),2)</f>
        <v>12.72</v>
      </c>
      <c r="R12" s="2">
        <f>ROUND(SUMIFS([1]Responses!$AB$2:$AB$4001,[1]Responses!$B$2:$B$4001,$A12),2)</f>
        <v>22</v>
      </c>
      <c r="S12" t="str">
        <f>IF(R12&gt;='[1]Reward Model'!$B$8,"Gold",IF(R12&gt;='[1]Reward Model'!$B$9,"Silver","Bronze"))</f>
        <v>Silver</v>
      </c>
      <c r="T12" s="2">
        <f>ROUND(R12/'[1]Reward Model'!$B$7*100,2)</f>
        <v>53.66</v>
      </c>
    </row>
    <row r="13" spans="1:20" x14ac:dyDescent="0.25">
      <c r="A13" t="s">
        <v>33</v>
      </c>
      <c r="B13" t="s">
        <v>21</v>
      </c>
      <c r="C13" t="s">
        <v>22</v>
      </c>
      <c r="D13">
        <f t="shared" si="0"/>
        <v>20</v>
      </c>
      <c r="E13" s="2">
        <f t="shared" si="1"/>
        <v>31.38</v>
      </c>
      <c r="F13">
        <f>COUNTIFS([1]Responses!$B$2:$B$4001,$A13)</f>
        <v>20</v>
      </c>
      <c r="G13">
        <f t="shared" si="2"/>
        <v>16</v>
      </c>
      <c r="H13">
        <f t="shared" si="2"/>
        <v>4</v>
      </c>
      <c r="I13">
        <f>COUNTIFS([1]Responses!$B$2:$B$4001,$A13,[1]Responses!$K$2:$K$4001,"High",[1]Responses!$I$2:$I$4001,"Correct")</f>
        <v>4</v>
      </c>
      <c r="J13">
        <f>COUNTIFS([1]Responses!$B$2:$B$4001,$A13,[1]Responses!$K$2:$K$4001,"High",[1]Responses!$I$2:$I$4001,"Wrong")</f>
        <v>1</v>
      </c>
      <c r="K13" s="2">
        <f>ROUND(SUMIFS([1]Responses!$J$2:$J$4001,[1]Responses!$B$2:$B$4001,$A13,[1]Responses!$K$2:$K$4001,"High"),2)</f>
        <v>8.89</v>
      </c>
      <c r="L13">
        <f>COUNTIFS([1]Responses!$B$2:$B$4001,$A13,[1]Responses!$K$2:$K$4001,"Medium",[1]Responses!$I$2:$I$4001,"Correct")</f>
        <v>5</v>
      </c>
      <c r="M13">
        <f>COUNTIFS([1]Responses!$B$2:$B$4001,$A13,[1]Responses!$K$2:$K$4001,"Medium",[1]Responses!$I$2:$I$4001,"Wrong")</f>
        <v>1</v>
      </c>
      <c r="N13" s="2">
        <f>ROUND(SUMIFS([1]Responses!$J$2:$J$4001,[1]Responses!$B$2:$B$4001,$A13,[1]Responses!$K$2:$K$4001,"Medium"),2)</f>
        <v>10.53</v>
      </c>
      <c r="O13">
        <f>COUNTIFS([1]Responses!$B$2:$B$4001,$A13,[1]Responses!$K$2:$K$4001,"Low",[1]Responses!$I$2:$I$4001,"Correct")</f>
        <v>7</v>
      </c>
      <c r="P13">
        <f>COUNTIFS([1]Responses!$B$2:$B$4001,$A13,[1]Responses!$K$2:$K$4001,"Low",[1]Responses!$I$2:$I$4001,"Wrong")</f>
        <v>2</v>
      </c>
      <c r="Q13" s="2">
        <f>ROUND(SUMIFS([1]Responses!$J$2:$J$4001,[1]Responses!$B$2:$B$4001,$A13,[1]Responses!$K$2:$K$4001,"Low"),2)</f>
        <v>11.96</v>
      </c>
      <c r="R13" s="2">
        <f>ROUND(SUMIFS([1]Responses!$AB$2:$AB$4001,[1]Responses!$B$2:$B$4001,$A13),2)</f>
        <v>31.5</v>
      </c>
      <c r="S13" t="str">
        <f>IF(R13&gt;='[1]Reward Model'!$B$8,"Gold",IF(R13&gt;='[1]Reward Model'!$B$9,"Silver","Bronze"))</f>
        <v>Gold</v>
      </c>
      <c r="T13" s="2">
        <f>ROUND(R13/'[1]Reward Model'!$B$7*100,2)</f>
        <v>76.83</v>
      </c>
    </row>
    <row r="14" spans="1:20" x14ac:dyDescent="0.25">
      <c r="A14" t="s">
        <v>34</v>
      </c>
      <c r="B14" t="s">
        <v>21</v>
      </c>
      <c r="C14" t="s">
        <v>22</v>
      </c>
      <c r="D14">
        <f t="shared" si="0"/>
        <v>20</v>
      </c>
      <c r="E14" s="2">
        <f t="shared" si="1"/>
        <v>32.83</v>
      </c>
      <c r="F14">
        <f>COUNTIFS([1]Responses!$B$2:$B$4001,$A14)</f>
        <v>20</v>
      </c>
      <c r="G14">
        <f t="shared" si="2"/>
        <v>12</v>
      </c>
      <c r="H14">
        <f t="shared" si="2"/>
        <v>8</v>
      </c>
      <c r="I14">
        <f>COUNTIFS([1]Responses!$B$2:$B$4001,$A14,[1]Responses!$K$2:$K$4001,"High",[1]Responses!$I$2:$I$4001,"Correct")</f>
        <v>2</v>
      </c>
      <c r="J14">
        <f>COUNTIFS([1]Responses!$B$2:$B$4001,$A14,[1]Responses!$K$2:$K$4001,"High",[1]Responses!$I$2:$I$4001,"Wrong")</f>
        <v>3</v>
      </c>
      <c r="K14" s="2">
        <f>ROUND(SUMIFS([1]Responses!$J$2:$J$4001,[1]Responses!$B$2:$B$4001,$A14,[1]Responses!$K$2:$K$4001,"High"),2)</f>
        <v>8.93</v>
      </c>
      <c r="L14">
        <f>COUNTIFS([1]Responses!$B$2:$B$4001,$A14,[1]Responses!$K$2:$K$4001,"Medium",[1]Responses!$I$2:$I$4001,"Correct")</f>
        <v>2</v>
      </c>
      <c r="M14">
        <f>COUNTIFS([1]Responses!$B$2:$B$4001,$A14,[1]Responses!$K$2:$K$4001,"Medium",[1]Responses!$I$2:$I$4001,"Wrong")</f>
        <v>4</v>
      </c>
      <c r="N14" s="2">
        <f>ROUND(SUMIFS([1]Responses!$J$2:$J$4001,[1]Responses!$B$2:$B$4001,$A14,[1]Responses!$K$2:$K$4001,"Medium"),2)</f>
        <v>10.81</v>
      </c>
      <c r="O14">
        <f>COUNTIFS([1]Responses!$B$2:$B$4001,$A14,[1]Responses!$K$2:$K$4001,"Low",[1]Responses!$I$2:$I$4001,"Correct")</f>
        <v>8</v>
      </c>
      <c r="P14">
        <f>COUNTIFS([1]Responses!$B$2:$B$4001,$A14,[1]Responses!$K$2:$K$4001,"Low",[1]Responses!$I$2:$I$4001,"Wrong")</f>
        <v>1</v>
      </c>
      <c r="Q14" s="2">
        <f>ROUND(SUMIFS([1]Responses!$J$2:$J$4001,[1]Responses!$B$2:$B$4001,$A14,[1]Responses!$K$2:$K$4001,"Low"),2)</f>
        <v>13.09</v>
      </c>
      <c r="R14" s="2">
        <f>ROUND(SUMIFS([1]Responses!$AB$2:$AB$4001,[1]Responses!$B$2:$B$4001,$A14),2)</f>
        <v>20.65</v>
      </c>
      <c r="S14" t="str">
        <f>IF(R14&gt;='[1]Reward Model'!$B$8,"Gold",IF(R14&gt;='[1]Reward Model'!$B$9,"Silver","Bronze"))</f>
        <v>Silver</v>
      </c>
      <c r="T14" s="2">
        <f>ROUND(R14/'[1]Reward Model'!$B$7*100,2)</f>
        <v>50.37</v>
      </c>
    </row>
    <row r="15" spans="1:20" x14ac:dyDescent="0.25">
      <c r="A15" t="s">
        <v>35</v>
      </c>
      <c r="B15" t="s">
        <v>21</v>
      </c>
      <c r="C15" t="s">
        <v>22</v>
      </c>
      <c r="D15">
        <f t="shared" si="0"/>
        <v>20</v>
      </c>
      <c r="E15" s="2">
        <f t="shared" si="1"/>
        <v>33.299999999999997</v>
      </c>
      <c r="F15">
        <f>COUNTIFS([1]Responses!$B$2:$B$4001,$A15)</f>
        <v>20</v>
      </c>
      <c r="G15">
        <f t="shared" si="2"/>
        <v>7</v>
      </c>
      <c r="H15">
        <f t="shared" si="2"/>
        <v>13</v>
      </c>
      <c r="I15">
        <f>COUNTIFS([1]Responses!$B$2:$B$4001,$A15,[1]Responses!$K$2:$K$4001,"High",[1]Responses!$I$2:$I$4001,"Correct")</f>
        <v>2</v>
      </c>
      <c r="J15">
        <f>COUNTIFS([1]Responses!$B$2:$B$4001,$A15,[1]Responses!$K$2:$K$4001,"High",[1]Responses!$I$2:$I$4001,"Wrong")</f>
        <v>3</v>
      </c>
      <c r="K15" s="2">
        <f>ROUND(SUMIFS([1]Responses!$J$2:$J$4001,[1]Responses!$B$2:$B$4001,$A15,[1]Responses!$K$2:$K$4001,"High"),2)</f>
        <v>10.6</v>
      </c>
      <c r="L15">
        <f>COUNTIFS([1]Responses!$B$2:$B$4001,$A15,[1]Responses!$K$2:$K$4001,"Medium",[1]Responses!$I$2:$I$4001,"Correct")</f>
        <v>1</v>
      </c>
      <c r="M15">
        <f>COUNTIFS([1]Responses!$B$2:$B$4001,$A15,[1]Responses!$K$2:$K$4001,"Medium",[1]Responses!$I$2:$I$4001,"Wrong")</f>
        <v>5</v>
      </c>
      <c r="N15" s="2">
        <f>ROUND(SUMIFS([1]Responses!$J$2:$J$4001,[1]Responses!$B$2:$B$4001,$A15,[1]Responses!$K$2:$K$4001,"Medium"),2)</f>
        <v>10.34</v>
      </c>
      <c r="O15">
        <f>COUNTIFS([1]Responses!$B$2:$B$4001,$A15,[1]Responses!$K$2:$K$4001,"Low",[1]Responses!$I$2:$I$4001,"Correct")</f>
        <v>4</v>
      </c>
      <c r="P15">
        <f>COUNTIFS([1]Responses!$B$2:$B$4001,$A15,[1]Responses!$K$2:$K$4001,"Low",[1]Responses!$I$2:$I$4001,"Wrong")</f>
        <v>5</v>
      </c>
      <c r="Q15" s="2">
        <f>ROUND(SUMIFS([1]Responses!$J$2:$J$4001,[1]Responses!$B$2:$B$4001,$A15,[1]Responses!$K$2:$K$4001,"Low"),2)</f>
        <v>12.36</v>
      </c>
      <c r="R15" s="2">
        <f>ROUND(SUMIFS([1]Responses!$AB$2:$AB$4001,[1]Responses!$B$2:$B$4001,$A15),2)</f>
        <v>13.72</v>
      </c>
      <c r="S15" t="str">
        <f>IF(R15&gt;='[1]Reward Model'!$B$8,"Gold",IF(R15&gt;='[1]Reward Model'!$B$9,"Silver","Bronze"))</f>
        <v>Bronze</v>
      </c>
      <c r="T15" s="2">
        <f>ROUND(R15/'[1]Reward Model'!$B$7*100,2)</f>
        <v>33.46</v>
      </c>
    </row>
    <row r="16" spans="1:20" x14ac:dyDescent="0.25">
      <c r="A16" t="s">
        <v>36</v>
      </c>
      <c r="B16" t="s">
        <v>21</v>
      </c>
      <c r="C16" t="s">
        <v>22</v>
      </c>
      <c r="D16">
        <f t="shared" si="0"/>
        <v>20</v>
      </c>
      <c r="E16" s="2">
        <f t="shared" si="1"/>
        <v>32.28</v>
      </c>
      <c r="F16">
        <f>COUNTIFS([1]Responses!$B$2:$B$4001,$A16)</f>
        <v>20</v>
      </c>
      <c r="G16">
        <f t="shared" si="2"/>
        <v>14</v>
      </c>
      <c r="H16">
        <f t="shared" si="2"/>
        <v>6</v>
      </c>
      <c r="I16">
        <f>COUNTIFS([1]Responses!$B$2:$B$4001,$A16,[1]Responses!$K$2:$K$4001,"High",[1]Responses!$I$2:$I$4001,"Correct")</f>
        <v>4</v>
      </c>
      <c r="J16">
        <f>COUNTIFS([1]Responses!$B$2:$B$4001,$A16,[1]Responses!$K$2:$K$4001,"High",[1]Responses!$I$2:$I$4001,"Wrong")</f>
        <v>1</v>
      </c>
      <c r="K16" s="2">
        <f>ROUND(SUMIFS([1]Responses!$J$2:$J$4001,[1]Responses!$B$2:$B$4001,$A16,[1]Responses!$K$2:$K$4001,"High"),2)</f>
        <v>8.4700000000000006</v>
      </c>
      <c r="L16">
        <f>COUNTIFS([1]Responses!$B$2:$B$4001,$A16,[1]Responses!$K$2:$K$4001,"Medium",[1]Responses!$I$2:$I$4001,"Correct")</f>
        <v>2</v>
      </c>
      <c r="M16">
        <f>COUNTIFS([1]Responses!$B$2:$B$4001,$A16,[1]Responses!$K$2:$K$4001,"Medium",[1]Responses!$I$2:$I$4001,"Wrong")</f>
        <v>4</v>
      </c>
      <c r="N16" s="2">
        <f>ROUND(SUMIFS([1]Responses!$J$2:$J$4001,[1]Responses!$B$2:$B$4001,$A16,[1]Responses!$K$2:$K$4001,"Medium"),2)</f>
        <v>11.43</v>
      </c>
      <c r="O16">
        <f>COUNTIFS([1]Responses!$B$2:$B$4001,$A16,[1]Responses!$K$2:$K$4001,"Low",[1]Responses!$I$2:$I$4001,"Correct")</f>
        <v>8</v>
      </c>
      <c r="P16">
        <f>COUNTIFS([1]Responses!$B$2:$B$4001,$A16,[1]Responses!$K$2:$K$4001,"Low",[1]Responses!$I$2:$I$4001,"Wrong")</f>
        <v>1</v>
      </c>
      <c r="Q16" s="2">
        <f>ROUND(SUMIFS([1]Responses!$J$2:$J$4001,[1]Responses!$B$2:$B$4001,$A16,[1]Responses!$K$2:$K$4001,"Low"),2)</f>
        <v>12.38</v>
      </c>
      <c r="R16" s="2">
        <f>ROUND(SUMIFS([1]Responses!$AB$2:$AB$4001,[1]Responses!$B$2:$B$4001,$A16),2)</f>
        <v>27.97</v>
      </c>
      <c r="S16" t="str">
        <f>IF(R16&gt;='[1]Reward Model'!$B$8,"Gold",IF(R16&gt;='[1]Reward Model'!$B$9,"Silver","Bronze"))</f>
        <v>Silver</v>
      </c>
      <c r="T16" s="2">
        <f>ROUND(R16/'[1]Reward Model'!$B$7*100,2)</f>
        <v>68.22</v>
      </c>
    </row>
    <row r="17" spans="1:20" x14ac:dyDescent="0.25">
      <c r="A17" t="s">
        <v>37</v>
      </c>
      <c r="B17" t="s">
        <v>21</v>
      </c>
      <c r="C17" t="s">
        <v>22</v>
      </c>
      <c r="D17">
        <f t="shared" si="0"/>
        <v>20</v>
      </c>
      <c r="E17" s="2">
        <f t="shared" si="1"/>
        <v>28.97</v>
      </c>
      <c r="F17">
        <f>COUNTIFS([1]Responses!$B$2:$B$4001,$A17)</f>
        <v>20</v>
      </c>
      <c r="G17">
        <f t="shared" si="2"/>
        <v>15</v>
      </c>
      <c r="H17">
        <f t="shared" si="2"/>
        <v>5</v>
      </c>
      <c r="I17">
        <f>COUNTIFS([1]Responses!$B$2:$B$4001,$A17,[1]Responses!$K$2:$K$4001,"High",[1]Responses!$I$2:$I$4001,"Correct")</f>
        <v>2</v>
      </c>
      <c r="J17">
        <f>COUNTIFS([1]Responses!$B$2:$B$4001,$A17,[1]Responses!$K$2:$K$4001,"High",[1]Responses!$I$2:$I$4001,"Wrong")</f>
        <v>3</v>
      </c>
      <c r="K17" s="2">
        <f>ROUND(SUMIFS([1]Responses!$J$2:$J$4001,[1]Responses!$B$2:$B$4001,$A17,[1]Responses!$K$2:$K$4001,"High"),2)</f>
        <v>8.0500000000000007</v>
      </c>
      <c r="L17">
        <f>COUNTIFS([1]Responses!$B$2:$B$4001,$A17,[1]Responses!$K$2:$K$4001,"Medium",[1]Responses!$I$2:$I$4001,"Correct")</f>
        <v>5</v>
      </c>
      <c r="M17">
        <f>COUNTIFS([1]Responses!$B$2:$B$4001,$A17,[1]Responses!$K$2:$K$4001,"Medium",[1]Responses!$I$2:$I$4001,"Wrong")</f>
        <v>1</v>
      </c>
      <c r="N17" s="2">
        <f>ROUND(SUMIFS([1]Responses!$J$2:$J$4001,[1]Responses!$B$2:$B$4001,$A17,[1]Responses!$K$2:$K$4001,"Medium"),2)</f>
        <v>8.7799999999999994</v>
      </c>
      <c r="O17">
        <f>COUNTIFS([1]Responses!$B$2:$B$4001,$A17,[1]Responses!$K$2:$K$4001,"Low",[1]Responses!$I$2:$I$4001,"Correct")</f>
        <v>8</v>
      </c>
      <c r="P17">
        <f>COUNTIFS([1]Responses!$B$2:$B$4001,$A17,[1]Responses!$K$2:$K$4001,"Low",[1]Responses!$I$2:$I$4001,"Wrong")</f>
        <v>1</v>
      </c>
      <c r="Q17" s="2">
        <f>ROUND(SUMIFS([1]Responses!$J$2:$J$4001,[1]Responses!$B$2:$B$4001,$A17,[1]Responses!$K$2:$K$4001,"Low"),2)</f>
        <v>12.14</v>
      </c>
      <c r="R17" s="2">
        <f>ROUND(SUMIFS([1]Responses!$AB$2:$AB$4001,[1]Responses!$B$2:$B$4001,$A17),2)</f>
        <v>27.81</v>
      </c>
      <c r="S17" t="str">
        <f>IF(R17&gt;='[1]Reward Model'!$B$8,"Gold",IF(R17&gt;='[1]Reward Model'!$B$9,"Silver","Bronze"))</f>
        <v>Silver</v>
      </c>
      <c r="T17" s="2">
        <f>ROUND(R17/'[1]Reward Model'!$B$7*100,2)</f>
        <v>67.83</v>
      </c>
    </row>
    <row r="18" spans="1:20" x14ac:dyDescent="0.25">
      <c r="A18" t="s">
        <v>38</v>
      </c>
      <c r="B18" t="s">
        <v>21</v>
      </c>
      <c r="C18" t="s">
        <v>22</v>
      </c>
      <c r="D18">
        <f t="shared" si="0"/>
        <v>20</v>
      </c>
      <c r="E18" s="2">
        <f t="shared" si="1"/>
        <v>33.82</v>
      </c>
      <c r="F18">
        <f>COUNTIFS([1]Responses!$B$2:$B$4001,$A18)</f>
        <v>20</v>
      </c>
      <c r="G18">
        <f t="shared" si="2"/>
        <v>12</v>
      </c>
      <c r="H18">
        <f t="shared" si="2"/>
        <v>8</v>
      </c>
      <c r="I18">
        <f>COUNTIFS([1]Responses!$B$2:$B$4001,$A18,[1]Responses!$K$2:$K$4001,"High",[1]Responses!$I$2:$I$4001,"Correct")</f>
        <v>3</v>
      </c>
      <c r="J18">
        <f>COUNTIFS([1]Responses!$B$2:$B$4001,$A18,[1]Responses!$K$2:$K$4001,"High",[1]Responses!$I$2:$I$4001,"Wrong")</f>
        <v>2</v>
      </c>
      <c r="K18" s="2">
        <f>ROUND(SUMIFS([1]Responses!$J$2:$J$4001,[1]Responses!$B$2:$B$4001,$A18,[1]Responses!$K$2:$K$4001,"High"),2)</f>
        <v>8.67</v>
      </c>
      <c r="L18">
        <f>COUNTIFS([1]Responses!$B$2:$B$4001,$A18,[1]Responses!$K$2:$K$4001,"Medium",[1]Responses!$I$2:$I$4001,"Correct")</f>
        <v>3</v>
      </c>
      <c r="M18">
        <f>COUNTIFS([1]Responses!$B$2:$B$4001,$A18,[1]Responses!$K$2:$K$4001,"Medium",[1]Responses!$I$2:$I$4001,"Wrong")</f>
        <v>3</v>
      </c>
      <c r="N18" s="2">
        <f>ROUND(SUMIFS([1]Responses!$J$2:$J$4001,[1]Responses!$B$2:$B$4001,$A18,[1]Responses!$K$2:$K$4001,"Medium"),2)</f>
        <v>12.47</v>
      </c>
      <c r="O18">
        <f>COUNTIFS([1]Responses!$B$2:$B$4001,$A18,[1]Responses!$K$2:$K$4001,"Low",[1]Responses!$I$2:$I$4001,"Correct")</f>
        <v>6</v>
      </c>
      <c r="P18">
        <f>COUNTIFS([1]Responses!$B$2:$B$4001,$A18,[1]Responses!$K$2:$K$4001,"Low",[1]Responses!$I$2:$I$4001,"Wrong")</f>
        <v>3</v>
      </c>
      <c r="Q18" s="2">
        <f>ROUND(SUMIFS([1]Responses!$J$2:$J$4001,[1]Responses!$B$2:$B$4001,$A18,[1]Responses!$K$2:$K$4001,"Low"),2)</f>
        <v>12.68</v>
      </c>
      <c r="R18" s="2">
        <f>ROUND(SUMIFS([1]Responses!$AB$2:$AB$4001,[1]Responses!$B$2:$B$4001,$A18),2)</f>
        <v>21.68</v>
      </c>
      <c r="S18" t="str">
        <f>IF(R18&gt;='[1]Reward Model'!$B$8,"Gold",IF(R18&gt;='[1]Reward Model'!$B$9,"Silver","Bronze"))</f>
        <v>Silver</v>
      </c>
      <c r="T18" s="2">
        <f>ROUND(R18/'[1]Reward Model'!$B$7*100,2)</f>
        <v>52.88</v>
      </c>
    </row>
    <row r="19" spans="1:20" x14ac:dyDescent="0.25">
      <c r="A19" t="s">
        <v>39</v>
      </c>
      <c r="B19" t="s">
        <v>21</v>
      </c>
      <c r="C19" t="s">
        <v>22</v>
      </c>
      <c r="D19">
        <f t="shared" si="0"/>
        <v>20</v>
      </c>
      <c r="E19" s="2">
        <f t="shared" si="1"/>
        <v>33.92</v>
      </c>
      <c r="F19">
        <f>COUNTIFS([1]Responses!$B$2:$B$4001,$A19)</f>
        <v>20</v>
      </c>
      <c r="G19">
        <f t="shared" si="2"/>
        <v>17</v>
      </c>
      <c r="H19">
        <f t="shared" si="2"/>
        <v>3</v>
      </c>
      <c r="I19">
        <f>COUNTIFS([1]Responses!$B$2:$B$4001,$A19,[1]Responses!$K$2:$K$4001,"High",[1]Responses!$I$2:$I$4001,"Correct")</f>
        <v>4</v>
      </c>
      <c r="J19">
        <f>COUNTIFS([1]Responses!$B$2:$B$4001,$A19,[1]Responses!$K$2:$K$4001,"High",[1]Responses!$I$2:$I$4001,"Wrong")</f>
        <v>1</v>
      </c>
      <c r="K19" s="2">
        <f>ROUND(SUMIFS([1]Responses!$J$2:$J$4001,[1]Responses!$B$2:$B$4001,$A19,[1]Responses!$K$2:$K$4001,"High"),2)</f>
        <v>9.4</v>
      </c>
      <c r="L19">
        <f>COUNTIFS([1]Responses!$B$2:$B$4001,$A19,[1]Responses!$K$2:$K$4001,"Medium",[1]Responses!$I$2:$I$4001,"Correct")</f>
        <v>5</v>
      </c>
      <c r="M19">
        <f>COUNTIFS([1]Responses!$B$2:$B$4001,$A19,[1]Responses!$K$2:$K$4001,"Medium",[1]Responses!$I$2:$I$4001,"Wrong")</f>
        <v>1</v>
      </c>
      <c r="N19" s="2">
        <f>ROUND(SUMIFS([1]Responses!$J$2:$J$4001,[1]Responses!$B$2:$B$4001,$A19,[1]Responses!$K$2:$K$4001,"Medium"),2)</f>
        <v>11.86</v>
      </c>
      <c r="O19">
        <f>COUNTIFS([1]Responses!$B$2:$B$4001,$A19,[1]Responses!$K$2:$K$4001,"Low",[1]Responses!$I$2:$I$4001,"Correct")</f>
        <v>8</v>
      </c>
      <c r="P19">
        <f>COUNTIFS([1]Responses!$B$2:$B$4001,$A19,[1]Responses!$K$2:$K$4001,"Low",[1]Responses!$I$2:$I$4001,"Wrong")</f>
        <v>1</v>
      </c>
      <c r="Q19" s="2">
        <f>ROUND(SUMIFS([1]Responses!$J$2:$J$4001,[1]Responses!$B$2:$B$4001,$A19,[1]Responses!$K$2:$K$4001,"Low"),2)</f>
        <v>12.66</v>
      </c>
      <c r="R19" s="2">
        <f>ROUND(SUMIFS([1]Responses!$AB$2:$AB$4001,[1]Responses!$B$2:$B$4001,$A19),2)</f>
        <v>32.54</v>
      </c>
      <c r="S19" t="str">
        <f>IF(R19&gt;='[1]Reward Model'!$B$8,"Gold",IF(R19&gt;='[1]Reward Model'!$B$9,"Silver","Bronze"))</f>
        <v>Gold</v>
      </c>
      <c r="T19" s="2">
        <f>ROUND(R19/'[1]Reward Model'!$B$7*100,2)</f>
        <v>79.37</v>
      </c>
    </row>
    <row r="20" spans="1:20" x14ac:dyDescent="0.25">
      <c r="A20" t="s">
        <v>40</v>
      </c>
      <c r="B20" t="s">
        <v>21</v>
      </c>
      <c r="C20" t="s">
        <v>22</v>
      </c>
      <c r="D20">
        <f t="shared" si="0"/>
        <v>20</v>
      </c>
      <c r="E20" s="2">
        <f t="shared" si="1"/>
        <v>32.880000000000003</v>
      </c>
      <c r="F20">
        <f>COUNTIFS([1]Responses!$B$2:$B$4001,$A20)</f>
        <v>20</v>
      </c>
      <c r="G20">
        <f t="shared" si="2"/>
        <v>15</v>
      </c>
      <c r="H20">
        <f t="shared" si="2"/>
        <v>5</v>
      </c>
      <c r="I20">
        <f>COUNTIFS([1]Responses!$B$2:$B$4001,$A20,[1]Responses!$K$2:$K$4001,"High",[1]Responses!$I$2:$I$4001,"Correct")</f>
        <v>2</v>
      </c>
      <c r="J20">
        <f>COUNTIFS([1]Responses!$B$2:$B$4001,$A20,[1]Responses!$K$2:$K$4001,"High",[1]Responses!$I$2:$I$4001,"Wrong")</f>
        <v>3</v>
      </c>
      <c r="K20" s="2">
        <f>ROUND(SUMIFS([1]Responses!$J$2:$J$4001,[1]Responses!$B$2:$B$4001,$A20,[1]Responses!$K$2:$K$4001,"High"),2)</f>
        <v>10.37</v>
      </c>
      <c r="L20">
        <f>COUNTIFS([1]Responses!$B$2:$B$4001,$A20,[1]Responses!$K$2:$K$4001,"Medium",[1]Responses!$I$2:$I$4001,"Correct")</f>
        <v>5</v>
      </c>
      <c r="M20">
        <f>COUNTIFS([1]Responses!$B$2:$B$4001,$A20,[1]Responses!$K$2:$K$4001,"Medium",[1]Responses!$I$2:$I$4001,"Wrong")</f>
        <v>1</v>
      </c>
      <c r="N20" s="2">
        <f>ROUND(SUMIFS([1]Responses!$J$2:$J$4001,[1]Responses!$B$2:$B$4001,$A20,[1]Responses!$K$2:$K$4001,"Medium"),2)</f>
        <v>9.8699999999999992</v>
      </c>
      <c r="O20">
        <f>COUNTIFS([1]Responses!$B$2:$B$4001,$A20,[1]Responses!$K$2:$K$4001,"Low",[1]Responses!$I$2:$I$4001,"Correct")</f>
        <v>8</v>
      </c>
      <c r="P20">
        <f>COUNTIFS([1]Responses!$B$2:$B$4001,$A20,[1]Responses!$K$2:$K$4001,"Low",[1]Responses!$I$2:$I$4001,"Wrong")</f>
        <v>1</v>
      </c>
      <c r="Q20" s="2">
        <f>ROUND(SUMIFS([1]Responses!$J$2:$J$4001,[1]Responses!$B$2:$B$4001,$A20,[1]Responses!$K$2:$K$4001,"Low"),2)</f>
        <v>12.64</v>
      </c>
      <c r="R20" s="2">
        <f>ROUND(SUMIFS([1]Responses!$AB$2:$AB$4001,[1]Responses!$B$2:$B$4001,$A20),2)</f>
        <v>27.62</v>
      </c>
      <c r="S20" t="str">
        <f>IF(R20&gt;='[1]Reward Model'!$B$8,"Gold",IF(R20&gt;='[1]Reward Model'!$B$9,"Silver","Bronze"))</f>
        <v>Silver</v>
      </c>
      <c r="T20" s="2">
        <f>ROUND(R20/'[1]Reward Model'!$B$7*100,2)</f>
        <v>67.37</v>
      </c>
    </row>
    <row r="21" spans="1:20" x14ac:dyDescent="0.25">
      <c r="A21" t="s">
        <v>41</v>
      </c>
      <c r="B21" t="s">
        <v>21</v>
      </c>
      <c r="C21" t="s">
        <v>22</v>
      </c>
      <c r="D21">
        <f t="shared" si="0"/>
        <v>20</v>
      </c>
      <c r="E21" s="2">
        <f t="shared" si="1"/>
        <v>30.5</v>
      </c>
      <c r="F21">
        <f>COUNTIFS([1]Responses!$B$2:$B$4001,$A21)</f>
        <v>20</v>
      </c>
      <c r="G21">
        <f t="shared" si="2"/>
        <v>12</v>
      </c>
      <c r="H21">
        <f t="shared" si="2"/>
        <v>8</v>
      </c>
      <c r="I21">
        <f>COUNTIFS([1]Responses!$B$2:$B$4001,$A21,[1]Responses!$K$2:$K$4001,"High",[1]Responses!$I$2:$I$4001,"Correct")</f>
        <v>2</v>
      </c>
      <c r="J21">
        <f>COUNTIFS([1]Responses!$B$2:$B$4001,$A21,[1]Responses!$K$2:$K$4001,"High",[1]Responses!$I$2:$I$4001,"Wrong")</f>
        <v>3</v>
      </c>
      <c r="K21" s="2">
        <f>ROUND(SUMIFS([1]Responses!$J$2:$J$4001,[1]Responses!$B$2:$B$4001,$A21,[1]Responses!$K$2:$K$4001,"High"),2)</f>
        <v>8.07</v>
      </c>
      <c r="L21">
        <f>COUNTIFS([1]Responses!$B$2:$B$4001,$A21,[1]Responses!$K$2:$K$4001,"Medium",[1]Responses!$I$2:$I$4001,"Correct")</f>
        <v>2</v>
      </c>
      <c r="M21">
        <f>COUNTIFS([1]Responses!$B$2:$B$4001,$A21,[1]Responses!$K$2:$K$4001,"Medium",[1]Responses!$I$2:$I$4001,"Wrong")</f>
        <v>4</v>
      </c>
      <c r="N21" s="2">
        <f>ROUND(SUMIFS([1]Responses!$J$2:$J$4001,[1]Responses!$B$2:$B$4001,$A21,[1]Responses!$K$2:$K$4001,"Medium"),2)</f>
        <v>9.5299999999999994</v>
      </c>
      <c r="O21">
        <f>COUNTIFS([1]Responses!$B$2:$B$4001,$A21,[1]Responses!$K$2:$K$4001,"Low",[1]Responses!$I$2:$I$4001,"Correct")</f>
        <v>8</v>
      </c>
      <c r="P21">
        <f>COUNTIFS([1]Responses!$B$2:$B$4001,$A21,[1]Responses!$K$2:$K$4001,"Low",[1]Responses!$I$2:$I$4001,"Wrong")</f>
        <v>1</v>
      </c>
      <c r="Q21" s="2">
        <f>ROUND(SUMIFS([1]Responses!$J$2:$J$4001,[1]Responses!$B$2:$B$4001,$A21,[1]Responses!$K$2:$K$4001,"Low"),2)</f>
        <v>12.9</v>
      </c>
      <c r="R21" s="2">
        <f>ROUND(SUMIFS([1]Responses!$AB$2:$AB$4001,[1]Responses!$B$2:$B$4001,$A21),2)</f>
        <v>21.54</v>
      </c>
      <c r="S21" t="str">
        <f>IF(R21&gt;='[1]Reward Model'!$B$8,"Gold",IF(R21&gt;='[1]Reward Model'!$B$9,"Silver","Bronze"))</f>
        <v>Silver</v>
      </c>
      <c r="T21" s="2">
        <f>ROUND(R21/'[1]Reward Model'!$B$7*100,2)</f>
        <v>52.54</v>
      </c>
    </row>
    <row r="22" spans="1:20" x14ac:dyDescent="0.25">
      <c r="A22" t="s">
        <v>42</v>
      </c>
      <c r="B22" t="s">
        <v>21</v>
      </c>
      <c r="C22" t="s">
        <v>22</v>
      </c>
      <c r="D22">
        <f t="shared" si="0"/>
        <v>20</v>
      </c>
      <c r="E22" s="2">
        <f t="shared" si="1"/>
        <v>30.96</v>
      </c>
      <c r="F22">
        <f>COUNTIFS([1]Responses!$B$2:$B$4001,$A22)</f>
        <v>20</v>
      </c>
      <c r="G22">
        <f t="shared" si="2"/>
        <v>5</v>
      </c>
      <c r="H22">
        <f t="shared" si="2"/>
        <v>15</v>
      </c>
      <c r="I22">
        <f>COUNTIFS([1]Responses!$B$2:$B$4001,$A22,[1]Responses!$K$2:$K$4001,"High",[1]Responses!$I$2:$I$4001,"Correct")</f>
        <v>1</v>
      </c>
      <c r="J22">
        <f>COUNTIFS([1]Responses!$B$2:$B$4001,$A22,[1]Responses!$K$2:$K$4001,"High",[1]Responses!$I$2:$I$4001,"Wrong")</f>
        <v>4</v>
      </c>
      <c r="K22" s="2">
        <f>ROUND(SUMIFS([1]Responses!$J$2:$J$4001,[1]Responses!$B$2:$B$4001,$A22,[1]Responses!$K$2:$K$4001,"High"),2)</f>
        <v>8.4499999999999993</v>
      </c>
      <c r="L22">
        <f>COUNTIFS([1]Responses!$B$2:$B$4001,$A22,[1]Responses!$K$2:$K$4001,"Medium",[1]Responses!$I$2:$I$4001,"Correct")</f>
        <v>2</v>
      </c>
      <c r="M22">
        <f>COUNTIFS([1]Responses!$B$2:$B$4001,$A22,[1]Responses!$K$2:$K$4001,"Medium",[1]Responses!$I$2:$I$4001,"Wrong")</f>
        <v>4</v>
      </c>
      <c r="N22" s="2">
        <f>ROUND(SUMIFS([1]Responses!$J$2:$J$4001,[1]Responses!$B$2:$B$4001,$A22,[1]Responses!$K$2:$K$4001,"Medium"),2)</f>
        <v>9.6999999999999993</v>
      </c>
      <c r="O22">
        <f>COUNTIFS([1]Responses!$B$2:$B$4001,$A22,[1]Responses!$K$2:$K$4001,"Low",[1]Responses!$I$2:$I$4001,"Correct")</f>
        <v>2</v>
      </c>
      <c r="P22">
        <f>COUNTIFS([1]Responses!$B$2:$B$4001,$A22,[1]Responses!$K$2:$K$4001,"Low",[1]Responses!$I$2:$I$4001,"Wrong")</f>
        <v>7</v>
      </c>
      <c r="Q22" s="2">
        <f>ROUND(SUMIFS([1]Responses!$J$2:$J$4001,[1]Responses!$B$2:$B$4001,$A22,[1]Responses!$K$2:$K$4001,"Low"),2)</f>
        <v>12.81</v>
      </c>
      <c r="R22" s="2">
        <f>ROUND(SUMIFS([1]Responses!$AB$2:$AB$4001,[1]Responses!$B$2:$B$4001,$A22),2)</f>
        <v>8.42</v>
      </c>
      <c r="S22" t="str">
        <f>IF(R22&gt;='[1]Reward Model'!$B$8,"Gold",IF(R22&gt;='[1]Reward Model'!$B$9,"Silver","Bronze"))</f>
        <v>Bronze</v>
      </c>
      <c r="T22" s="2">
        <f>ROUND(R22/'[1]Reward Model'!$B$7*100,2)</f>
        <v>20.54</v>
      </c>
    </row>
    <row r="23" spans="1:20" x14ac:dyDescent="0.25">
      <c r="A23" t="s">
        <v>43</v>
      </c>
      <c r="B23" t="s">
        <v>21</v>
      </c>
      <c r="C23" t="s">
        <v>22</v>
      </c>
      <c r="D23">
        <f t="shared" si="0"/>
        <v>20</v>
      </c>
      <c r="E23" s="2">
        <f t="shared" si="1"/>
        <v>32.29</v>
      </c>
      <c r="F23">
        <f>COUNTIFS([1]Responses!$B$2:$B$4001,$A23)</f>
        <v>20</v>
      </c>
      <c r="G23">
        <f t="shared" si="2"/>
        <v>12</v>
      </c>
      <c r="H23">
        <f t="shared" si="2"/>
        <v>8</v>
      </c>
      <c r="I23">
        <f>COUNTIFS([1]Responses!$B$2:$B$4001,$A23,[1]Responses!$K$2:$K$4001,"High",[1]Responses!$I$2:$I$4001,"Correct")</f>
        <v>2</v>
      </c>
      <c r="J23">
        <f>COUNTIFS([1]Responses!$B$2:$B$4001,$A23,[1]Responses!$K$2:$K$4001,"High",[1]Responses!$I$2:$I$4001,"Wrong")</f>
        <v>3</v>
      </c>
      <c r="K23" s="2">
        <f>ROUND(SUMIFS([1]Responses!$J$2:$J$4001,[1]Responses!$B$2:$B$4001,$A23,[1]Responses!$K$2:$K$4001,"High"),2)</f>
        <v>8.9600000000000009</v>
      </c>
      <c r="L23">
        <f>COUNTIFS([1]Responses!$B$2:$B$4001,$A23,[1]Responses!$K$2:$K$4001,"Medium",[1]Responses!$I$2:$I$4001,"Correct")</f>
        <v>3</v>
      </c>
      <c r="M23">
        <f>COUNTIFS([1]Responses!$B$2:$B$4001,$A23,[1]Responses!$K$2:$K$4001,"Medium",[1]Responses!$I$2:$I$4001,"Wrong")</f>
        <v>3</v>
      </c>
      <c r="N23" s="2">
        <f>ROUND(SUMIFS([1]Responses!$J$2:$J$4001,[1]Responses!$B$2:$B$4001,$A23,[1]Responses!$K$2:$K$4001,"Medium"),2)</f>
        <v>11.01</v>
      </c>
      <c r="O23">
        <f>COUNTIFS([1]Responses!$B$2:$B$4001,$A23,[1]Responses!$K$2:$K$4001,"Low",[1]Responses!$I$2:$I$4001,"Correct")</f>
        <v>7</v>
      </c>
      <c r="P23">
        <f>COUNTIFS([1]Responses!$B$2:$B$4001,$A23,[1]Responses!$K$2:$K$4001,"Low",[1]Responses!$I$2:$I$4001,"Wrong")</f>
        <v>2</v>
      </c>
      <c r="Q23" s="2">
        <f>ROUND(SUMIFS([1]Responses!$J$2:$J$4001,[1]Responses!$B$2:$B$4001,$A23,[1]Responses!$K$2:$K$4001,"Low"),2)</f>
        <v>12.32</v>
      </c>
      <c r="R23" s="2">
        <f>ROUND(SUMIFS([1]Responses!$AB$2:$AB$4001,[1]Responses!$B$2:$B$4001,$A23),2)</f>
        <v>20.66</v>
      </c>
      <c r="S23" t="str">
        <f>IF(R23&gt;='[1]Reward Model'!$B$8,"Gold",IF(R23&gt;='[1]Reward Model'!$B$9,"Silver","Bronze"))</f>
        <v>Silver</v>
      </c>
      <c r="T23" s="2">
        <f>ROUND(R23/'[1]Reward Model'!$B$7*100,2)</f>
        <v>50.39</v>
      </c>
    </row>
    <row r="24" spans="1:20" x14ac:dyDescent="0.25">
      <c r="A24" t="s">
        <v>44</v>
      </c>
      <c r="B24" t="s">
        <v>21</v>
      </c>
      <c r="C24" t="s">
        <v>22</v>
      </c>
      <c r="D24">
        <f t="shared" si="0"/>
        <v>20</v>
      </c>
      <c r="E24" s="2">
        <f t="shared" si="1"/>
        <v>32.880000000000003</v>
      </c>
      <c r="F24">
        <f>COUNTIFS([1]Responses!$B$2:$B$4001,$A24)</f>
        <v>20</v>
      </c>
      <c r="G24">
        <f t="shared" si="2"/>
        <v>14</v>
      </c>
      <c r="H24">
        <f t="shared" si="2"/>
        <v>6</v>
      </c>
      <c r="I24">
        <f>COUNTIFS([1]Responses!$B$2:$B$4001,$A24,[1]Responses!$K$2:$K$4001,"High",[1]Responses!$I$2:$I$4001,"Correct")</f>
        <v>3</v>
      </c>
      <c r="J24">
        <f>COUNTIFS([1]Responses!$B$2:$B$4001,$A24,[1]Responses!$K$2:$K$4001,"High",[1]Responses!$I$2:$I$4001,"Wrong")</f>
        <v>2</v>
      </c>
      <c r="K24" s="2">
        <f>ROUND(SUMIFS([1]Responses!$J$2:$J$4001,[1]Responses!$B$2:$B$4001,$A24,[1]Responses!$K$2:$K$4001,"High"),2)</f>
        <v>9.17</v>
      </c>
      <c r="L24">
        <f>COUNTIFS([1]Responses!$B$2:$B$4001,$A24,[1]Responses!$K$2:$K$4001,"Medium",[1]Responses!$I$2:$I$4001,"Correct")</f>
        <v>3</v>
      </c>
      <c r="M24">
        <f>COUNTIFS([1]Responses!$B$2:$B$4001,$A24,[1]Responses!$K$2:$K$4001,"Medium",[1]Responses!$I$2:$I$4001,"Wrong")</f>
        <v>3</v>
      </c>
      <c r="N24" s="2">
        <f>ROUND(SUMIFS([1]Responses!$J$2:$J$4001,[1]Responses!$B$2:$B$4001,$A24,[1]Responses!$K$2:$K$4001,"Medium"),2)</f>
        <v>10.64</v>
      </c>
      <c r="O24">
        <f>COUNTIFS([1]Responses!$B$2:$B$4001,$A24,[1]Responses!$K$2:$K$4001,"Low",[1]Responses!$I$2:$I$4001,"Correct")</f>
        <v>8</v>
      </c>
      <c r="P24">
        <f>COUNTIFS([1]Responses!$B$2:$B$4001,$A24,[1]Responses!$K$2:$K$4001,"Low",[1]Responses!$I$2:$I$4001,"Wrong")</f>
        <v>1</v>
      </c>
      <c r="Q24" s="2">
        <f>ROUND(SUMIFS([1]Responses!$J$2:$J$4001,[1]Responses!$B$2:$B$4001,$A24,[1]Responses!$K$2:$K$4001,"Low"),2)</f>
        <v>13.07</v>
      </c>
      <c r="R24" s="2">
        <f>ROUND(SUMIFS([1]Responses!$AB$2:$AB$4001,[1]Responses!$B$2:$B$4001,$A24),2)</f>
        <v>26.58</v>
      </c>
      <c r="S24" t="str">
        <f>IF(R24&gt;='[1]Reward Model'!$B$8,"Gold",IF(R24&gt;='[1]Reward Model'!$B$9,"Silver","Bronze"))</f>
        <v>Silver</v>
      </c>
      <c r="T24" s="2">
        <f>ROUND(R24/'[1]Reward Model'!$B$7*100,2)</f>
        <v>64.83</v>
      </c>
    </row>
    <row r="25" spans="1:20" x14ac:dyDescent="0.25">
      <c r="A25" t="s">
        <v>45</v>
      </c>
      <c r="B25" t="s">
        <v>21</v>
      </c>
      <c r="C25" t="s">
        <v>22</v>
      </c>
      <c r="D25">
        <f t="shared" si="0"/>
        <v>20</v>
      </c>
      <c r="E25" s="2">
        <f t="shared" si="1"/>
        <v>32.75</v>
      </c>
      <c r="F25">
        <f>COUNTIFS([1]Responses!$B$2:$B$4001,$A25)</f>
        <v>20</v>
      </c>
      <c r="G25">
        <f t="shared" si="2"/>
        <v>15</v>
      </c>
      <c r="H25">
        <f t="shared" si="2"/>
        <v>5</v>
      </c>
      <c r="I25">
        <f>COUNTIFS([1]Responses!$B$2:$B$4001,$A25,[1]Responses!$K$2:$K$4001,"High",[1]Responses!$I$2:$I$4001,"Correct")</f>
        <v>4</v>
      </c>
      <c r="J25">
        <f>COUNTIFS([1]Responses!$B$2:$B$4001,$A25,[1]Responses!$K$2:$K$4001,"High",[1]Responses!$I$2:$I$4001,"Wrong")</f>
        <v>1</v>
      </c>
      <c r="K25" s="2">
        <f>ROUND(SUMIFS([1]Responses!$J$2:$J$4001,[1]Responses!$B$2:$B$4001,$A25,[1]Responses!$K$2:$K$4001,"High"),2)</f>
        <v>9.08</v>
      </c>
      <c r="L25">
        <f>COUNTIFS([1]Responses!$B$2:$B$4001,$A25,[1]Responses!$K$2:$K$4001,"Medium",[1]Responses!$I$2:$I$4001,"Correct")</f>
        <v>3</v>
      </c>
      <c r="M25">
        <f>COUNTIFS([1]Responses!$B$2:$B$4001,$A25,[1]Responses!$K$2:$K$4001,"Medium",[1]Responses!$I$2:$I$4001,"Wrong")</f>
        <v>3</v>
      </c>
      <c r="N25" s="2">
        <f>ROUND(SUMIFS([1]Responses!$J$2:$J$4001,[1]Responses!$B$2:$B$4001,$A25,[1]Responses!$K$2:$K$4001,"Medium"),2)</f>
        <v>10.53</v>
      </c>
      <c r="O25">
        <f>COUNTIFS([1]Responses!$B$2:$B$4001,$A25,[1]Responses!$K$2:$K$4001,"Low",[1]Responses!$I$2:$I$4001,"Correct")</f>
        <v>8</v>
      </c>
      <c r="P25">
        <f>COUNTIFS([1]Responses!$B$2:$B$4001,$A25,[1]Responses!$K$2:$K$4001,"Low",[1]Responses!$I$2:$I$4001,"Wrong")</f>
        <v>1</v>
      </c>
      <c r="Q25" s="2">
        <f>ROUND(SUMIFS([1]Responses!$J$2:$J$4001,[1]Responses!$B$2:$B$4001,$A25,[1]Responses!$K$2:$K$4001,"Low"),2)</f>
        <v>13.14</v>
      </c>
      <c r="R25" s="2">
        <f>ROUND(SUMIFS([1]Responses!$AB$2:$AB$4001,[1]Responses!$B$2:$B$4001,$A25),2)</f>
        <v>28.88</v>
      </c>
      <c r="S25" t="str">
        <f>IF(R25&gt;='[1]Reward Model'!$B$8,"Gold",IF(R25&gt;='[1]Reward Model'!$B$9,"Silver","Bronze"))</f>
        <v>Gold</v>
      </c>
      <c r="T25" s="2">
        <f>ROUND(R25/'[1]Reward Model'!$B$7*100,2)</f>
        <v>70.44</v>
      </c>
    </row>
    <row r="26" spans="1:20" x14ac:dyDescent="0.25">
      <c r="A26" t="s">
        <v>46</v>
      </c>
      <c r="B26" t="s">
        <v>21</v>
      </c>
      <c r="C26" t="s">
        <v>22</v>
      </c>
      <c r="D26">
        <f t="shared" si="0"/>
        <v>20</v>
      </c>
      <c r="E26" s="2">
        <f t="shared" si="1"/>
        <v>28.81</v>
      </c>
      <c r="F26">
        <f>COUNTIFS([1]Responses!$B$2:$B$4001,$A26)</f>
        <v>20</v>
      </c>
      <c r="G26">
        <f t="shared" si="2"/>
        <v>14</v>
      </c>
      <c r="H26">
        <f t="shared" si="2"/>
        <v>6</v>
      </c>
      <c r="I26">
        <f>COUNTIFS([1]Responses!$B$2:$B$4001,$A26,[1]Responses!$K$2:$K$4001,"High",[1]Responses!$I$2:$I$4001,"Correct")</f>
        <v>2</v>
      </c>
      <c r="J26">
        <f>COUNTIFS([1]Responses!$B$2:$B$4001,$A26,[1]Responses!$K$2:$K$4001,"High",[1]Responses!$I$2:$I$4001,"Wrong")</f>
        <v>3</v>
      </c>
      <c r="K26" s="2">
        <f>ROUND(SUMIFS([1]Responses!$J$2:$J$4001,[1]Responses!$B$2:$B$4001,$A26,[1]Responses!$K$2:$K$4001,"High"),2)</f>
        <v>7.97</v>
      </c>
      <c r="L26">
        <f>COUNTIFS([1]Responses!$B$2:$B$4001,$A26,[1]Responses!$K$2:$K$4001,"Medium",[1]Responses!$I$2:$I$4001,"Correct")</f>
        <v>5</v>
      </c>
      <c r="M26">
        <f>COUNTIFS([1]Responses!$B$2:$B$4001,$A26,[1]Responses!$K$2:$K$4001,"Medium",[1]Responses!$I$2:$I$4001,"Wrong")</f>
        <v>1</v>
      </c>
      <c r="N26" s="2">
        <f>ROUND(SUMIFS([1]Responses!$J$2:$J$4001,[1]Responses!$B$2:$B$4001,$A26,[1]Responses!$K$2:$K$4001,"Medium"),2)</f>
        <v>9.0500000000000007</v>
      </c>
      <c r="O26">
        <f>COUNTIFS([1]Responses!$B$2:$B$4001,$A26,[1]Responses!$K$2:$K$4001,"Low",[1]Responses!$I$2:$I$4001,"Correct")</f>
        <v>7</v>
      </c>
      <c r="P26">
        <f>COUNTIFS([1]Responses!$B$2:$B$4001,$A26,[1]Responses!$K$2:$K$4001,"Low",[1]Responses!$I$2:$I$4001,"Wrong")</f>
        <v>2</v>
      </c>
      <c r="Q26" s="2">
        <f>ROUND(SUMIFS([1]Responses!$J$2:$J$4001,[1]Responses!$B$2:$B$4001,$A26,[1]Responses!$K$2:$K$4001,"Low"),2)</f>
        <v>11.79</v>
      </c>
      <c r="R26" s="2">
        <f>ROUND(SUMIFS([1]Responses!$AB$2:$AB$4001,[1]Responses!$B$2:$B$4001,$A26),2)</f>
        <v>25.8</v>
      </c>
      <c r="S26" t="str">
        <f>IF(R26&gt;='[1]Reward Model'!$B$8,"Gold",IF(R26&gt;='[1]Reward Model'!$B$9,"Silver","Bronze"))</f>
        <v>Silver</v>
      </c>
      <c r="T26" s="2">
        <f>ROUND(R26/'[1]Reward Model'!$B$7*100,2)</f>
        <v>62.93</v>
      </c>
    </row>
    <row r="27" spans="1:20" x14ac:dyDescent="0.25">
      <c r="A27" t="s">
        <v>47</v>
      </c>
      <c r="B27" t="s">
        <v>21</v>
      </c>
      <c r="C27" t="s">
        <v>22</v>
      </c>
      <c r="D27">
        <f t="shared" si="0"/>
        <v>20</v>
      </c>
      <c r="E27" s="2">
        <f t="shared" si="1"/>
        <v>32.03</v>
      </c>
      <c r="F27">
        <f>COUNTIFS([1]Responses!$B$2:$B$4001,$A27)</f>
        <v>20</v>
      </c>
      <c r="G27">
        <f t="shared" si="2"/>
        <v>13</v>
      </c>
      <c r="H27">
        <f t="shared" si="2"/>
        <v>7</v>
      </c>
      <c r="I27">
        <f>COUNTIFS([1]Responses!$B$2:$B$4001,$A27,[1]Responses!$K$2:$K$4001,"High",[1]Responses!$I$2:$I$4001,"Correct")</f>
        <v>1</v>
      </c>
      <c r="J27">
        <f>COUNTIFS([1]Responses!$B$2:$B$4001,$A27,[1]Responses!$K$2:$K$4001,"High",[1]Responses!$I$2:$I$4001,"Wrong")</f>
        <v>4</v>
      </c>
      <c r="K27" s="2">
        <f>ROUND(SUMIFS([1]Responses!$J$2:$J$4001,[1]Responses!$B$2:$B$4001,$A27,[1]Responses!$K$2:$K$4001,"High"),2)</f>
        <v>8.24</v>
      </c>
      <c r="L27">
        <f>COUNTIFS([1]Responses!$B$2:$B$4001,$A27,[1]Responses!$K$2:$K$4001,"Medium",[1]Responses!$I$2:$I$4001,"Correct")</f>
        <v>4</v>
      </c>
      <c r="M27">
        <f>COUNTIFS([1]Responses!$B$2:$B$4001,$A27,[1]Responses!$K$2:$K$4001,"Medium",[1]Responses!$I$2:$I$4001,"Wrong")</f>
        <v>2</v>
      </c>
      <c r="N27" s="2">
        <f>ROUND(SUMIFS([1]Responses!$J$2:$J$4001,[1]Responses!$B$2:$B$4001,$A27,[1]Responses!$K$2:$K$4001,"Medium"),2)</f>
        <v>9.57</v>
      </c>
      <c r="O27">
        <f>COUNTIFS([1]Responses!$B$2:$B$4001,$A27,[1]Responses!$K$2:$K$4001,"Low",[1]Responses!$I$2:$I$4001,"Correct")</f>
        <v>8</v>
      </c>
      <c r="P27">
        <f>COUNTIFS([1]Responses!$B$2:$B$4001,$A27,[1]Responses!$K$2:$K$4001,"Low",[1]Responses!$I$2:$I$4001,"Wrong")</f>
        <v>1</v>
      </c>
      <c r="Q27" s="2">
        <f>ROUND(SUMIFS([1]Responses!$J$2:$J$4001,[1]Responses!$B$2:$B$4001,$A27,[1]Responses!$K$2:$K$4001,"Low"),2)</f>
        <v>14.22</v>
      </c>
      <c r="R27" s="2">
        <f>ROUND(SUMIFS([1]Responses!$AB$2:$AB$4001,[1]Responses!$B$2:$B$4001,$A27),2)</f>
        <v>21.6</v>
      </c>
      <c r="S27" t="str">
        <f>IF(R27&gt;='[1]Reward Model'!$B$8,"Gold",IF(R27&gt;='[1]Reward Model'!$B$9,"Silver","Bronze"))</f>
        <v>Silver</v>
      </c>
      <c r="T27" s="2">
        <f>ROUND(R27/'[1]Reward Model'!$B$7*100,2)</f>
        <v>52.68</v>
      </c>
    </row>
    <row r="28" spans="1:20" x14ac:dyDescent="0.25">
      <c r="A28" t="s">
        <v>48</v>
      </c>
      <c r="B28" t="s">
        <v>21</v>
      </c>
      <c r="C28" t="s">
        <v>22</v>
      </c>
      <c r="D28">
        <f t="shared" si="0"/>
        <v>20</v>
      </c>
      <c r="E28" s="2">
        <f t="shared" si="1"/>
        <v>32.729999999999997</v>
      </c>
      <c r="F28">
        <f>COUNTIFS([1]Responses!$B$2:$B$4001,$A28)</f>
        <v>20</v>
      </c>
      <c r="G28">
        <f t="shared" si="2"/>
        <v>16</v>
      </c>
      <c r="H28">
        <f t="shared" si="2"/>
        <v>4</v>
      </c>
      <c r="I28">
        <f>COUNTIFS([1]Responses!$B$2:$B$4001,$A28,[1]Responses!$K$2:$K$4001,"High",[1]Responses!$I$2:$I$4001,"Correct")</f>
        <v>3</v>
      </c>
      <c r="J28">
        <f>COUNTIFS([1]Responses!$B$2:$B$4001,$A28,[1]Responses!$K$2:$K$4001,"High",[1]Responses!$I$2:$I$4001,"Wrong")</f>
        <v>2</v>
      </c>
      <c r="K28" s="2">
        <f>ROUND(SUMIFS([1]Responses!$J$2:$J$4001,[1]Responses!$B$2:$B$4001,$A28,[1]Responses!$K$2:$K$4001,"High"),2)</f>
        <v>9.67</v>
      </c>
      <c r="L28">
        <f>COUNTIFS([1]Responses!$B$2:$B$4001,$A28,[1]Responses!$K$2:$K$4001,"Medium",[1]Responses!$I$2:$I$4001,"Correct")</f>
        <v>5</v>
      </c>
      <c r="M28">
        <f>COUNTIFS([1]Responses!$B$2:$B$4001,$A28,[1]Responses!$K$2:$K$4001,"Medium",[1]Responses!$I$2:$I$4001,"Wrong")</f>
        <v>1</v>
      </c>
      <c r="N28" s="2">
        <f>ROUND(SUMIFS([1]Responses!$J$2:$J$4001,[1]Responses!$B$2:$B$4001,$A28,[1]Responses!$K$2:$K$4001,"Medium"),2)</f>
        <v>9.91</v>
      </c>
      <c r="O28">
        <f>COUNTIFS([1]Responses!$B$2:$B$4001,$A28,[1]Responses!$K$2:$K$4001,"Low",[1]Responses!$I$2:$I$4001,"Correct")</f>
        <v>8</v>
      </c>
      <c r="P28">
        <f>COUNTIFS([1]Responses!$B$2:$B$4001,$A28,[1]Responses!$K$2:$K$4001,"Low",[1]Responses!$I$2:$I$4001,"Wrong")</f>
        <v>1</v>
      </c>
      <c r="Q28" s="2">
        <f>ROUND(SUMIFS([1]Responses!$J$2:$J$4001,[1]Responses!$B$2:$B$4001,$A28,[1]Responses!$K$2:$K$4001,"Low"),2)</f>
        <v>13.15</v>
      </c>
      <c r="R28" s="2">
        <f>ROUND(SUMIFS([1]Responses!$AB$2:$AB$4001,[1]Responses!$B$2:$B$4001,$A28),2)</f>
        <v>29.92</v>
      </c>
      <c r="S28" t="str">
        <f>IF(R28&gt;='[1]Reward Model'!$B$8,"Gold",IF(R28&gt;='[1]Reward Model'!$B$9,"Silver","Bronze"))</f>
        <v>Gold</v>
      </c>
      <c r="T28" s="2">
        <f>ROUND(R28/'[1]Reward Model'!$B$7*100,2)</f>
        <v>72.98</v>
      </c>
    </row>
    <row r="29" spans="1:20" x14ac:dyDescent="0.25">
      <c r="A29" t="s">
        <v>49</v>
      </c>
      <c r="B29" t="s">
        <v>21</v>
      </c>
      <c r="C29" t="s">
        <v>22</v>
      </c>
      <c r="D29">
        <f t="shared" si="0"/>
        <v>20</v>
      </c>
      <c r="E29" s="2">
        <f t="shared" si="1"/>
        <v>34.58</v>
      </c>
      <c r="F29">
        <f>COUNTIFS([1]Responses!$B$2:$B$4001,$A29)</f>
        <v>20</v>
      </c>
      <c r="G29">
        <f t="shared" si="2"/>
        <v>13</v>
      </c>
      <c r="H29">
        <f t="shared" si="2"/>
        <v>7</v>
      </c>
      <c r="I29">
        <f>COUNTIFS([1]Responses!$B$2:$B$4001,$A29,[1]Responses!$K$2:$K$4001,"High",[1]Responses!$I$2:$I$4001,"Correct")</f>
        <v>1</v>
      </c>
      <c r="J29">
        <f>COUNTIFS([1]Responses!$B$2:$B$4001,$A29,[1]Responses!$K$2:$K$4001,"High",[1]Responses!$I$2:$I$4001,"Wrong")</f>
        <v>4</v>
      </c>
      <c r="K29" s="2">
        <f>ROUND(SUMIFS([1]Responses!$J$2:$J$4001,[1]Responses!$B$2:$B$4001,$A29,[1]Responses!$K$2:$K$4001,"High"),2)</f>
        <v>9.8699999999999992</v>
      </c>
      <c r="L29">
        <f>COUNTIFS([1]Responses!$B$2:$B$4001,$A29,[1]Responses!$K$2:$K$4001,"Medium",[1]Responses!$I$2:$I$4001,"Correct")</f>
        <v>5</v>
      </c>
      <c r="M29">
        <f>COUNTIFS([1]Responses!$B$2:$B$4001,$A29,[1]Responses!$K$2:$K$4001,"Medium",[1]Responses!$I$2:$I$4001,"Wrong")</f>
        <v>1</v>
      </c>
      <c r="N29" s="2">
        <f>ROUND(SUMIFS([1]Responses!$J$2:$J$4001,[1]Responses!$B$2:$B$4001,$A29,[1]Responses!$K$2:$K$4001,"Medium"),2)</f>
        <v>10.53</v>
      </c>
      <c r="O29">
        <f>COUNTIFS([1]Responses!$B$2:$B$4001,$A29,[1]Responses!$K$2:$K$4001,"Low",[1]Responses!$I$2:$I$4001,"Correct")</f>
        <v>7</v>
      </c>
      <c r="P29">
        <f>COUNTIFS([1]Responses!$B$2:$B$4001,$A29,[1]Responses!$K$2:$K$4001,"Low",[1]Responses!$I$2:$I$4001,"Wrong")</f>
        <v>2</v>
      </c>
      <c r="Q29" s="2">
        <f>ROUND(SUMIFS([1]Responses!$J$2:$J$4001,[1]Responses!$B$2:$B$4001,$A29,[1]Responses!$K$2:$K$4001,"Low"),2)</f>
        <v>14.18</v>
      </c>
      <c r="R29" s="2">
        <f>ROUND(SUMIFS([1]Responses!$AB$2:$AB$4001,[1]Responses!$B$2:$B$4001,$A29),2)</f>
        <v>22.44</v>
      </c>
      <c r="S29" t="str">
        <f>IF(R29&gt;='[1]Reward Model'!$B$8,"Gold",IF(R29&gt;='[1]Reward Model'!$B$9,"Silver","Bronze"))</f>
        <v>Silver</v>
      </c>
      <c r="T29" s="2">
        <f>ROUND(R29/'[1]Reward Model'!$B$7*100,2)</f>
        <v>54.73</v>
      </c>
    </row>
    <row r="30" spans="1:20" x14ac:dyDescent="0.25">
      <c r="A30" t="s">
        <v>50</v>
      </c>
      <c r="B30" t="s">
        <v>21</v>
      </c>
      <c r="C30" t="s">
        <v>22</v>
      </c>
      <c r="D30">
        <f t="shared" si="0"/>
        <v>20</v>
      </c>
      <c r="E30" s="2">
        <f t="shared" si="1"/>
        <v>28.13</v>
      </c>
      <c r="F30">
        <f>COUNTIFS([1]Responses!$B$2:$B$4001,$A30)</f>
        <v>20</v>
      </c>
      <c r="G30">
        <f t="shared" si="2"/>
        <v>16</v>
      </c>
      <c r="H30">
        <f t="shared" si="2"/>
        <v>4</v>
      </c>
      <c r="I30">
        <f>COUNTIFS([1]Responses!$B$2:$B$4001,$A30,[1]Responses!$K$2:$K$4001,"High",[1]Responses!$I$2:$I$4001,"Correct")</f>
        <v>3</v>
      </c>
      <c r="J30">
        <f>COUNTIFS([1]Responses!$B$2:$B$4001,$A30,[1]Responses!$K$2:$K$4001,"High",[1]Responses!$I$2:$I$4001,"Wrong")</f>
        <v>2</v>
      </c>
      <c r="K30" s="2">
        <f>ROUND(SUMIFS([1]Responses!$J$2:$J$4001,[1]Responses!$B$2:$B$4001,$A30,[1]Responses!$K$2:$K$4001,"High"),2)</f>
        <v>8.06</v>
      </c>
      <c r="L30">
        <f>COUNTIFS([1]Responses!$B$2:$B$4001,$A30,[1]Responses!$K$2:$K$4001,"Medium",[1]Responses!$I$2:$I$4001,"Correct")</f>
        <v>5</v>
      </c>
      <c r="M30">
        <f>COUNTIFS([1]Responses!$B$2:$B$4001,$A30,[1]Responses!$K$2:$K$4001,"Medium",[1]Responses!$I$2:$I$4001,"Wrong")</f>
        <v>1</v>
      </c>
      <c r="N30" s="2">
        <f>ROUND(SUMIFS([1]Responses!$J$2:$J$4001,[1]Responses!$B$2:$B$4001,$A30,[1]Responses!$K$2:$K$4001,"Medium"),2)</f>
        <v>8.01</v>
      </c>
      <c r="O30">
        <f>COUNTIFS([1]Responses!$B$2:$B$4001,$A30,[1]Responses!$K$2:$K$4001,"Low",[1]Responses!$I$2:$I$4001,"Correct")</f>
        <v>8</v>
      </c>
      <c r="P30">
        <f>COUNTIFS([1]Responses!$B$2:$B$4001,$A30,[1]Responses!$K$2:$K$4001,"Low",[1]Responses!$I$2:$I$4001,"Wrong")</f>
        <v>1</v>
      </c>
      <c r="Q30" s="2">
        <f>ROUND(SUMIFS([1]Responses!$J$2:$J$4001,[1]Responses!$B$2:$B$4001,$A30,[1]Responses!$K$2:$K$4001,"Low"),2)</f>
        <v>12.06</v>
      </c>
      <c r="R30" s="2">
        <f>ROUND(SUMIFS([1]Responses!$AB$2:$AB$4001,[1]Responses!$B$2:$B$4001,$A30),2)</f>
        <v>30.45</v>
      </c>
      <c r="S30" t="str">
        <f>IF(R30&gt;='[1]Reward Model'!$B$8,"Gold",IF(R30&gt;='[1]Reward Model'!$B$9,"Silver","Bronze"))</f>
        <v>Gold</v>
      </c>
      <c r="T30" s="2">
        <f>ROUND(R30/'[1]Reward Model'!$B$7*100,2)</f>
        <v>74.27</v>
      </c>
    </row>
    <row r="31" spans="1:20" x14ac:dyDescent="0.25">
      <c r="A31" t="s">
        <v>51</v>
      </c>
      <c r="B31" t="s">
        <v>21</v>
      </c>
      <c r="C31" t="s">
        <v>22</v>
      </c>
      <c r="D31">
        <f t="shared" si="0"/>
        <v>20</v>
      </c>
      <c r="E31" s="2">
        <f t="shared" si="1"/>
        <v>28.82</v>
      </c>
      <c r="F31">
        <f>COUNTIFS([1]Responses!$B$2:$B$4001,$A31)</f>
        <v>20</v>
      </c>
      <c r="G31">
        <f t="shared" si="2"/>
        <v>13</v>
      </c>
      <c r="H31">
        <f t="shared" si="2"/>
        <v>7</v>
      </c>
      <c r="I31">
        <f>COUNTIFS([1]Responses!$B$2:$B$4001,$A31,[1]Responses!$K$2:$K$4001,"High",[1]Responses!$I$2:$I$4001,"Correct")</f>
        <v>2</v>
      </c>
      <c r="J31">
        <f>COUNTIFS([1]Responses!$B$2:$B$4001,$A31,[1]Responses!$K$2:$K$4001,"High",[1]Responses!$I$2:$I$4001,"Wrong")</f>
        <v>3</v>
      </c>
      <c r="K31" s="2">
        <f>ROUND(SUMIFS([1]Responses!$J$2:$J$4001,[1]Responses!$B$2:$B$4001,$A31,[1]Responses!$K$2:$K$4001,"High"),2)</f>
        <v>8.9600000000000009</v>
      </c>
      <c r="L31">
        <f>COUNTIFS([1]Responses!$B$2:$B$4001,$A31,[1]Responses!$K$2:$K$4001,"Medium",[1]Responses!$I$2:$I$4001,"Correct")</f>
        <v>3</v>
      </c>
      <c r="M31">
        <f>COUNTIFS([1]Responses!$B$2:$B$4001,$A31,[1]Responses!$K$2:$K$4001,"Medium",[1]Responses!$I$2:$I$4001,"Wrong")</f>
        <v>3</v>
      </c>
      <c r="N31" s="2">
        <f>ROUND(SUMIFS([1]Responses!$J$2:$J$4001,[1]Responses!$B$2:$B$4001,$A31,[1]Responses!$K$2:$K$4001,"Medium"),2)</f>
        <v>8.9499999999999993</v>
      </c>
      <c r="O31">
        <f>COUNTIFS([1]Responses!$B$2:$B$4001,$A31,[1]Responses!$K$2:$K$4001,"Low",[1]Responses!$I$2:$I$4001,"Correct")</f>
        <v>8</v>
      </c>
      <c r="P31">
        <f>COUNTIFS([1]Responses!$B$2:$B$4001,$A31,[1]Responses!$K$2:$K$4001,"Low",[1]Responses!$I$2:$I$4001,"Wrong")</f>
        <v>1</v>
      </c>
      <c r="Q31" s="2">
        <f>ROUND(SUMIFS([1]Responses!$J$2:$J$4001,[1]Responses!$B$2:$B$4001,$A31,[1]Responses!$K$2:$K$4001,"Low"),2)</f>
        <v>10.91</v>
      </c>
      <c r="R31" s="2">
        <f>ROUND(SUMIFS([1]Responses!$AB$2:$AB$4001,[1]Responses!$B$2:$B$4001,$A31),2)</f>
        <v>24.16</v>
      </c>
      <c r="S31" t="str">
        <f>IF(R31&gt;='[1]Reward Model'!$B$8,"Gold",IF(R31&gt;='[1]Reward Model'!$B$9,"Silver","Bronze"))</f>
        <v>Silver</v>
      </c>
      <c r="T31" s="2">
        <f>ROUND(R31/'[1]Reward Model'!$B$7*100,2)</f>
        <v>58.93</v>
      </c>
    </row>
    <row r="32" spans="1:20" x14ac:dyDescent="0.25">
      <c r="A32" t="s">
        <v>52</v>
      </c>
      <c r="B32" t="s">
        <v>21</v>
      </c>
      <c r="C32" t="s">
        <v>53</v>
      </c>
      <c r="D32">
        <f t="shared" si="0"/>
        <v>20</v>
      </c>
      <c r="E32" s="2">
        <f t="shared" si="1"/>
        <v>31.41</v>
      </c>
      <c r="F32">
        <f>COUNTIFS([1]Responses!$B$2:$B$4001,$A32)</f>
        <v>20</v>
      </c>
      <c r="G32">
        <f t="shared" si="2"/>
        <v>14</v>
      </c>
      <c r="H32">
        <f t="shared" si="2"/>
        <v>6</v>
      </c>
      <c r="I32">
        <f>COUNTIFS([1]Responses!$B$2:$B$4001,$A32,[1]Responses!$K$2:$K$4001,"High",[1]Responses!$I$2:$I$4001,"Correct")</f>
        <v>3</v>
      </c>
      <c r="J32">
        <f>COUNTIFS([1]Responses!$B$2:$B$4001,$A32,[1]Responses!$K$2:$K$4001,"High",[1]Responses!$I$2:$I$4001,"Wrong")</f>
        <v>2</v>
      </c>
      <c r="K32" s="2">
        <f>ROUND(SUMIFS([1]Responses!$J$2:$J$4001,[1]Responses!$B$2:$B$4001,$A32,[1]Responses!$K$2:$K$4001,"High"),2)</f>
        <v>9.14</v>
      </c>
      <c r="L32">
        <f>COUNTIFS([1]Responses!$B$2:$B$4001,$A32,[1]Responses!$K$2:$K$4001,"Medium",[1]Responses!$I$2:$I$4001,"Correct")</f>
        <v>3</v>
      </c>
      <c r="M32">
        <f>COUNTIFS([1]Responses!$B$2:$B$4001,$A32,[1]Responses!$K$2:$K$4001,"Medium",[1]Responses!$I$2:$I$4001,"Wrong")</f>
        <v>3</v>
      </c>
      <c r="N32" s="2">
        <f>ROUND(SUMIFS([1]Responses!$J$2:$J$4001,[1]Responses!$B$2:$B$4001,$A32,[1]Responses!$K$2:$K$4001,"Medium"),2)</f>
        <v>10.06</v>
      </c>
      <c r="O32">
        <f>COUNTIFS([1]Responses!$B$2:$B$4001,$A32,[1]Responses!$K$2:$K$4001,"Low",[1]Responses!$I$2:$I$4001,"Correct")</f>
        <v>8</v>
      </c>
      <c r="P32">
        <f>COUNTIFS([1]Responses!$B$2:$B$4001,$A32,[1]Responses!$K$2:$K$4001,"Low",[1]Responses!$I$2:$I$4001,"Wrong")</f>
        <v>1</v>
      </c>
      <c r="Q32" s="2">
        <f>ROUND(SUMIFS([1]Responses!$J$2:$J$4001,[1]Responses!$B$2:$B$4001,$A32,[1]Responses!$K$2:$K$4001,"Low"),2)</f>
        <v>12.21</v>
      </c>
      <c r="R32" s="2">
        <f>ROUND(SUMIFS([1]Responses!$AB$2:$AB$4001,[1]Responses!$B$2:$B$4001,$A32),2)</f>
        <v>26.28</v>
      </c>
      <c r="S32" t="str">
        <f>IF(R32&gt;='[1]Reward Model'!$B$8,"Gold",IF(R32&gt;='[1]Reward Model'!$B$9,"Silver","Bronze"))</f>
        <v>Silver</v>
      </c>
      <c r="T32" s="2">
        <f>ROUND(R32/'[1]Reward Model'!$B$7*100,2)</f>
        <v>64.099999999999994</v>
      </c>
    </row>
    <row r="33" spans="1:20" x14ac:dyDescent="0.25">
      <c r="A33" t="s">
        <v>54</v>
      </c>
      <c r="B33" t="s">
        <v>21</v>
      </c>
      <c r="C33" t="s">
        <v>53</v>
      </c>
      <c r="D33">
        <f t="shared" si="0"/>
        <v>20</v>
      </c>
      <c r="E33" s="2">
        <f t="shared" si="1"/>
        <v>34.11</v>
      </c>
      <c r="F33">
        <f>COUNTIFS([1]Responses!$B$2:$B$4001,$A33)</f>
        <v>20</v>
      </c>
      <c r="G33">
        <f t="shared" si="2"/>
        <v>10</v>
      </c>
      <c r="H33">
        <f t="shared" si="2"/>
        <v>10</v>
      </c>
      <c r="I33">
        <f>COUNTIFS([1]Responses!$B$2:$B$4001,$A33,[1]Responses!$K$2:$K$4001,"High",[1]Responses!$I$2:$I$4001,"Correct")</f>
        <v>2</v>
      </c>
      <c r="J33">
        <f>COUNTIFS([1]Responses!$B$2:$B$4001,$A33,[1]Responses!$K$2:$K$4001,"High",[1]Responses!$I$2:$I$4001,"Wrong")</f>
        <v>3</v>
      </c>
      <c r="K33" s="2">
        <f>ROUND(SUMIFS([1]Responses!$J$2:$J$4001,[1]Responses!$B$2:$B$4001,$A33,[1]Responses!$K$2:$K$4001,"High"),2)</f>
        <v>8.5500000000000007</v>
      </c>
      <c r="L33">
        <f>COUNTIFS([1]Responses!$B$2:$B$4001,$A33,[1]Responses!$K$2:$K$4001,"Medium",[1]Responses!$I$2:$I$4001,"Correct")</f>
        <v>2</v>
      </c>
      <c r="M33">
        <f>COUNTIFS([1]Responses!$B$2:$B$4001,$A33,[1]Responses!$K$2:$K$4001,"Medium",[1]Responses!$I$2:$I$4001,"Wrong")</f>
        <v>4</v>
      </c>
      <c r="N33" s="2">
        <f>ROUND(SUMIFS([1]Responses!$J$2:$J$4001,[1]Responses!$B$2:$B$4001,$A33,[1]Responses!$K$2:$K$4001,"Medium"),2)</f>
        <v>11.37</v>
      </c>
      <c r="O33">
        <f>COUNTIFS([1]Responses!$B$2:$B$4001,$A33,[1]Responses!$K$2:$K$4001,"Low",[1]Responses!$I$2:$I$4001,"Correct")</f>
        <v>6</v>
      </c>
      <c r="P33">
        <f>COUNTIFS([1]Responses!$B$2:$B$4001,$A33,[1]Responses!$K$2:$K$4001,"Low",[1]Responses!$I$2:$I$4001,"Wrong")</f>
        <v>3</v>
      </c>
      <c r="Q33" s="2">
        <f>ROUND(SUMIFS([1]Responses!$J$2:$J$4001,[1]Responses!$B$2:$B$4001,$A33,[1]Responses!$K$2:$K$4001,"Low"),2)</f>
        <v>14.19</v>
      </c>
      <c r="R33" s="2">
        <f>ROUND(SUMIFS([1]Responses!$AB$2:$AB$4001,[1]Responses!$B$2:$B$4001,$A33),2)</f>
        <v>18.940000000000001</v>
      </c>
      <c r="S33" t="str">
        <f>IF(R33&gt;='[1]Reward Model'!$B$8,"Gold",IF(R33&gt;='[1]Reward Model'!$B$9,"Silver","Bronze"))</f>
        <v>Bronze</v>
      </c>
      <c r="T33" s="2">
        <f>ROUND(R33/'[1]Reward Model'!$B$7*100,2)</f>
        <v>46.2</v>
      </c>
    </row>
    <row r="34" spans="1:20" x14ac:dyDescent="0.25">
      <c r="A34" t="s">
        <v>55</v>
      </c>
      <c r="B34" t="s">
        <v>21</v>
      </c>
      <c r="C34" t="s">
        <v>53</v>
      </c>
      <c r="D34">
        <f t="shared" si="0"/>
        <v>20</v>
      </c>
      <c r="E34" s="2">
        <f t="shared" si="1"/>
        <v>31.03</v>
      </c>
      <c r="F34">
        <f>COUNTIFS([1]Responses!$B$2:$B$4001,$A34)</f>
        <v>20</v>
      </c>
      <c r="G34">
        <f t="shared" ref="G34:H65" si="3">I34+L34+O34</f>
        <v>13</v>
      </c>
      <c r="H34">
        <f t="shared" si="3"/>
        <v>7</v>
      </c>
      <c r="I34">
        <f>COUNTIFS([1]Responses!$B$2:$B$4001,$A34,[1]Responses!$K$2:$K$4001,"High",[1]Responses!$I$2:$I$4001,"Correct")</f>
        <v>3</v>
      </c>
      <c r="J34">
        <f>COUNTIFS([1]Responses!$B$2:$B$4001,$A34,[1]Responses!$K$2:$K$4001,"High",[1]Responses!$I$2:$I$4001,"Wrong")</f>
        <v>2</v>
      </c>
      <c r="K34" s="2">
        <f>ROUND(SUMIFS([1]Responses!$J$2:$J$4001,[1]Responses!$B$2:$B$4001,$A34,[1]Responses!$K$2:$K$4001,"High"),2)</f>
        <v>8.8699999999999992</v>
      </c>
      <c r="L34">
        <f>COUNTIFS([1]Responses!$B$2:$B$4001,$A34,[1]Responses!$K$2:$K$4001,"Medium",[1]Responses!$I$2:$I$4001,"Correct")</f>
        <v>3</v>
      </c>
      <c r="M34">
        <f>COUNTIFS([1]Responses!$B$2:$B$4001,$A34,[1]Responses!$K$2:$K$4001,"Medium",[1]Responses!$I$2:$I$4001,"Wrong")</f>
        <v>3</v>
      </c>
      <c r="N34" s="2">
        <f>ROUND(SUMIFS([1]Responses!$J$2:$J$4001,[1]Responses!$B$2:$B$4001,$A34,[1]Responses!$K$2:$K$4001,"Medium"),2)</f>
        <v>10.73</v>
      </c>
      <c r="O34">
        <f>COUNTIFS([1]Responses!$B$2:$B$4001,$A34,[1]Responses!$K$2:$K$4001,"Low",[1]Responses!$I$2:$I$4001,"Correct")</f>
        <v>7</v>
      </c>
      <c r="P34">
        <f>COUNTIFS([1]Responses!$B$2:$B$4001,$A34,[1]Responses!$K$2:$K$4001,"Low",[1]Responses!$I$2:$I$4001,"Wrong")</f>
        <v>2</v>
      </c>
      <c r="Q34" s="2">
        <f>ROUND(SUMIFS([1]Responses!$J$2:$J$4001,[1]Responses!$B$2:$B$4001,$A34,[1]Responses!$K$2:$K$4001,"Low"),2)</f>
        <v>11.43</v>
      </c>
      <c r="R34" s="2">
        <f>ROUND(SUMIFS([1]Responses!$AB$2:$AB$4001,[1]Responses!$B$2:$B$4001,$A34),2)</f>
        <v>23.57</v>
      </c>
      <c r="S34" t="str">
        <f>IF(R34&gt;='[1]Reward Model'!$B$8,"Gold",IF(R34&gt;='[1]Reward Model'!$B$9,"Silver","Bronze"))</f>
        <v>Silver</v>
      </c>
      <c r="T34" s="2">
        <f>ROUND(R34/'[1]Reward Model'!$B$7*100,2)</f>
        <v>57.49</v>
      </c>
    </row>
    <row r="35" spans="1:20" x14ac:dyDescent="0.25">
      <c r="A35" t="s">
        <v>56</v>
      </c>
      <c r="B35" t="s">
        <v>21</v>
      </c>
      <c r="C35" t="s">
        <v>53</v>
      </c>
      <c r="D35">
        <f t="shared" si="0"/>
        <v>20</v>
      </c>
      <c r="E35" s="2">
        <f t="shared" si="1"/>
        <v>31.32</v>
      </c>
      <c r="F35">
        <f>COUNTIFS([1]Responses!$B$2:$B$4001,$A35)</f>
        <v>20</v>
      </c>
      <c r="G35">
        <f t="shared" si="3"/>
        <v>12</v>
      </c>
      <c r="H35">
        <f t="shared" si="3"/>
        <v>8</v>
      </c>
      <c r="I35">
        <f>COUNTIFS([1]Responses!$B$2:$B$4001,$A35,[1]Responses!$K$2:$K$4001,"High",[1]Responses!$I$2:$I$4001,"Correct")</f>
        <v>1</v>
      </c>
      <c r="J35">
        <f>COUNTIFS([1]Responses!$B$2:$B$4001,$A35,[1]Responses!$K$2:$K$4001,"High",[1]Responses!$I$2:$I$4001,"Wrong")</f>
        <v>4</v>
      </c>
      <c r="K35" s="2">
        <f>ROUND(SUMIFS([1]Responses!$J$2:$J$4001,[1]Responses!$B$2:$B$4001,$A35,[1]Responses!$K$2:$K$4001,"High"),2)</f>
        <v>10.81</v>
      </c>
      <c r="L35">
        <f>COUNTIFS([1]Responses!$B$2:$B$4001,$A35,[1]Responses!$K$2:$K$4001,"Medium",[1]Responses!$I$2:$I$4001,"Correct")</f>
        <v>5</v>
      </c>
      <c r="M35">
        <f>COUNTIFS([1]Responses!$B$2:$B$4001,$A35,[1]Responses!$K$2:$K$4001,"Medium",[1]Responses!$I$2:$I$4001,"Wrong")</f>
        <v>1</v>
      </c>
      <c r="N35" s="2">
        <f>ROUND(SUMIFS([1]Responses!$J$2:$J$4001,[1]Responses!$B$2:$B$4001,$A35,[1]Responses!$K$2:$K$4001,"Medium"),2)</f>
        <v>9.75</v>
      </c>
      <c r="O35">
        <f>COUNTIFS([1]Responses!$B$2:$B$4001,$A35,[1]Responses!$K$2:$K$4001,"Low",[1]Responses!$I$2:$I$4001,"Correct")</f>
        <v>6</v>
      </c>
      <c r="P35">
        <f>COUNTIFS([1]Responses!$B$2:$B$4001,$A35,[1]Responses!$K$2:$K$4001,"Low",[1]Responses!$I$2:$I$4001,"Wrong")</f>
        <v>3</v>
      </c>
      <c r="Q35" s="2">
        <f>ROUND(SUMIFS([1]Responses!$J$2:$J$4001,[1]Responses!$B$2:$B$4001,$A35,[1]Responses!$K$2:$K$4001,"Low"),2)</f>
        <v>10.76</v>
      </c>
      <c r="R35" s="2">
        <f>ROUND(SUMIFS([1]Responses!$AB$2:$AB$4001,[1]Responses!$B$2:$B$4001,$A35),2)</f>
        <v>21.79</v>
      </c>
      <c r="S35" t="str">
        <f>IF(R35&gt;='[1]Reward Model'!$B$8,"Gold",IF(R35&gt;='[1]Reward Model'!$B$9,"Silver","Bronze"))</f>
        <v>Silver</v>
      </c>
      <c r="T35" s="2">
        <f>ROUND(R35/'[1]Reward Model'!$B$7*100,2)</f>
        <v>53.15</v>
      </c>
    </row>
    <row r="36" spans="1:20" x14ac:dyDescent="0.25">
      <c r="A36" t="s">
        <v>57</v>
      </c>
      <c r="B36" t="s">
        <v>21</v>
      </c>
      <c r="C36" t="s">
        <v>53</v>
      </c>
      <c r="D36">
        <f t="shared" si="0"/>
        <v>20</v>
      </c>
      <c r="E36" s="2">
        <f t="shared" si="1"/>
        <v>33.1</v>
      </c>
      <c r="F36">
        <f>COUNTIFS([1]Responses!$B$2:$B$4001,$A36)</f>
        <v>20</v>
      </c>
      <c r="G36">
        <f t="shared" si="3"/>
        <v>14</v>
      </c>
      <c r="H36">
        <f t="shared" si="3"/>
        <v>6</v>
      </c>
      <c r="I36">
        <f>COUNTIFS([1]Responses!$B$2:$B$4001,$A36,[1]Responses!$K$2:$K$4001,"High",[1]Responses!$I$2:$I$4001,"Correct")</f>
        <v>3</v>
      </c>
      <c r="J36">
        <f>COUNTIFS([1]Responses!$B$2:$B$4001,$A36,[1]Responses!$K$2:$K$4001,"High",[1]Responses!$I$2:$I$4001,"Wrong")</f>
        <v>2</v>
      </c>
      <c r="K36" s="2">
        <f>ROUND(SUMIFS([1]Responses!$J$2:$J$4001,[1]Responses!$B$2:$B$4001,$A36,[1]Responses!$K$2:$K$4001,"High"),2)</f>
        <v>9.61</v>
      </c>
      <c r="L36">
        <f>COUNTIFS([1]Responses!$B$2:$B$4001,$A36,[1]Responses!$K$2:$K$4001,"Medium",[1]Responses!$I$2:$I$4001,"Correct")</f>
        <v>3</v>
      </c>
      <c r="M36">
        <f>COUNTIFS([1]Responses!$B$2:$B$4001,$A36,[1]Responses!$K$2:$K$4001,"Medium",[1]Responses!$I$2:$I$4001,"Wrong")</f>
        <v>3</v>
      </c>
      <c r="N36" s="2">
        <f>ROUND(SUMIFS([1]Responses!$J$2:$J$4001,[1]Responses!$B$2:$B$4001,$A36,[1]Responses!$K$2:$K$4001,"Medium"),2)</f>
        <v>11.89</v>
      </c>
      <c r="O36">
        <f>COUNTIFS([1]Responses!$B$2:$B$4001,$A36,[1]Responses!$K$2:$K$4001,"Low",[1]Responses!$I$2:$I$4001,"Correct")</f>
        <v>8</v>
      </c>
      <c r="P36">
        <f>COUNTIFS([1]Responses!$B$2:$B$4001,$A36,[1]Responses!$K$2:$K$4001,"Low",[1]Responses!$I$2:$I$4001,"Wrong")</f>
        <v>1</v>
      </c>
      <c r="Q36" s="2">
        <f>ROUND(SUMIFS([1]Responses!$J$2:$J$4001,[1]Responses!$B$2:$B$4001,$A36,[1]Responses!$K$2:$K$4001,"Low"),2)</f>
        <v>11.6</v>
      </c>
      <c r="R36" s="2">
        <f>ROUND(SUMIFS([1]Responses!$AB$2:$AB$4001,[1]Responses!$B$2:$B$4001,$A36),2)</f>
        <v>24.98</v>
      </c>
      <c r="S36" t="str">
        <f>IF(R36&gt;='[1]Reward Model'!$B$8,"Gold",IF(R36&gt;='[1]Reward Model'!$B$9,"Silver","Bronze"))</f>
        <v>Silver</v>
      </c>
      <c r="T36" s="2">
        <f>ROUND(R36/'[1]Reward Model'!$B$7*100,2)</f>
        <v>60.93</v>
      </c>
    </row>
    <row r="37" spans="1:20" x14ac:dyDescent="0.25">
      <c r="A37" t="s">
        <v>58</v>
      </c>
      <c r="B37" t="s">
        <v>21</v>
      </c>
      <c r="C37" t="s">
        <v>53</v>
      </c>
      <c r="D37">
        <f t="shared" si="0"/>
        <v>20</v>
      </c>
      <c r="E37" s="2">
        <f t="shared" si="1"/>
        <v>32.450000000000003</v>
      </c>
      <c r="F37">
        <f>COUNTIFS([1]Responses!$B$2:$B$4001,$A37)</f>
        <v>20</v>
      </c>
      <c r="G37">
        <f t="shared" si="3"/>
        <v>9</v>
      </c>
      <c r="H37">
        <f t="shared" si="3"/>
        <v>11</v>
      </c>
      <c r="I37">
        <f>COUNTIFS([1]Responses!$B$2:$B$4001,$A37,[1]Responses!$K$2:$K$4001,"High",[1]Responses!$I$2:$I$4001,"Correct")</f>
        <v>1</v>
      </c>
      <c r="J37">
        <f>COUNTIFS([1]Responses!$B$2:$B$4001,$A37,[1]Responses!$K$2:$K$4001,"High",[1]Responses!$I$2:$I$4001,"Wrong")</f>
        <v>4</v>
      </c>
      <c r="K37" s="2">
        <f>ROUND(SUMIFS([1]Responses!$J$2:$J$4001,[1]Responses!$B$2:$B$4001,$A37,[1]Responses!$K$2:$K$4001,"High"),2)</f>
        <v>9.0399999999999991</v>
      </c>
      <c r="L37">
        <f>COUNTIFS([1]Responses!$B$2:$B$4001,$A37,[1]Responses!$K$2:$K$4001,"Medium",[1]Responses!$I$2:$I$4001,"Correct")</f>
        <v>2</v>
      </c>
      <c r="M37">
        <f>COUNTIFS([1]Responses!$B$2:$B$4001,$A37,[1]Responses!$K$2:$K$4001,"Medium",[1]Responses!$I$2:$I$4001,"Wrong")</f>
        <v>4</v>
      </c>
      <c r="N37" s="2">
        <f>ROUND(SUMIFS([1]Responses!$J$2:$J$4001,[1]Responses!$B$2:$B$4001,$A37,[1]Responses!$K$2:$K$4001,"Medium"),2)</f>
        <v>11.05</v>
      </c>
      <c r="O37">
        <f>COUNTIFS([1]Responses!$B$2:$B$4001,$A37,[1]Responses!$K$2:$K$4001,"Low",[1]Responses!$I$2:$I$4001,"Correct")</f>
        <v>6</v>
      </c>
      <c r="P37">
        <f>COUNTIFS([1]Responses!$B$2:$B$4001,$A37,[1]Responses!$K$2:$K$4001,"Low",[1]Responses!$I$2:$I$4001,"Wrong")</f>
        <v>3</v>
      </c>
      <c r="Q37" s="2">
        <f>ROUND(SUMIFS([1]Responses!$J$2:$J$4001,[1]Responses!$B$2:$B$4001,$A37,[1]Responses!$K$2:$K$4001,"Low"),2)</f>
        <v>12.36</v>
      </c>
      <c r="R37" s="2">
        <f>ROUND(SUMIFS([1]Responses!$AB$2:$AB$4001,[1]Responses!$B$2:$B$4001,$A37),2)</f>
        <v>14.79</v>
      </c>
      <c r="S37" t="str">
        <f>IF(R37&gt;='[1]Reward Model'!$B$8,"Gold",IF(R37&gt;='[1]Reward Model'!$B$9,"Silver","Bronze"))</f>
        <v>Bronze</v>
      </c>
      <c r="T37" s="2">
        <f>ROUND(R37/'[1]Reward Model'!$B$7*100,2)</f>
        <v>36.07</v>
      </c>
    </row>
    <row r="38" spans="1:20" x14ac:dyDescent="0.25">
      <c r="A38" t="s">
        <v>59</v>
      </c>
      <c r="B38" t="s">
        <v>21</v>
      </c>
      <c r="C38" t="s">
        <v>53</v>
      </c>
      <c r="D38">
        <f t="shared" si="0"/>
        <v>20</v>
      </c>
      <c r="E38" s="2">
        <f t="shared" si="1"/>
        <v>32.19</v>
      </c>
      <c r="F38">
        <f>COUNTIFS([1]Responses!$B$2:$B$4001,$A38)</f>
        <v>20</v>
      </c>
      <c r="G38">
        <f t="shared" si="3"/>
        <v>12</v>
      </c>
      <c r="H38">
        <f t="shared" si="3"/>
        <v>8</v>
      </c>
      <c r="I38">
        <f>COUNTIFS([1]Responses!$B$2:$B$4001,$A38,[1]Responses!$K$2:$K$4001,"High",[1]Responses!$I$2:$I$4001,"Correct")</f>
        <v>1</v>
      </c>
      <c r="J38">
        <f>COUNTIFS([1]Responses!$B$2:$B$4001,$A38,[1]Responses!$K$2:$K$4001,"High",[1]Responses!$I$2:$I$4001,"Wrong")</f>
        <v>4</v>
      </c>
      <c r="K38" s="2">
        <f>ROUND(SUMIFS([1]Responses!$J$2:$J$4001,[1]Responses!$B$2:$B$4001,$A38,[1]Responses!$K$2:$K$4001,"High"),2)</f>
        <v>9.0299999999999994</v>
      </c>
      <c r="L38">
        <f>COUNTIFS([1]Responses!$B$2:$B$4001,$A38,[1]Responses!$K$2:$K$4001,"Medium",[1]Responses!$I$2:$I$4001,"Correct")</f>
        <v>3</v>
      </c>
      <c r="M38">
        <f>COUNTIFS([1]Responses!$B$2:$B$4001,$A38,[1]Responses!$K$2:$K$4001,"Medium",[1]Responses!$I$2:$I$4001,"Wrong")</f>
        <v>3</v>
      </c>
      <c r="N38" s="2">
        <f>ROUND(SUMIFS([1]Responses!$J$2:$J$4001,[1]Responses!$B$2:$B$4001,$A38,[1]Responses!$K$2:$K$4001,"Medium"),2)</f>
        <v>9.93</v>
      </c>
      <c r="O38">
        <f>COUNTIFS([1]Responses!$B$2:$B$4001,$A38,[1]Responses!$K$2:$K$4001,"Low",[1]Responses!$I$2:$I$4001,"Correct")</f>
        <v>8</v>
      </c>
      <c r="P38">
        <f>COUNTIFS([1]Responses!$B$2:$B$4001,$A38,[1]Responses!$K$2:$K$4001,"Low",[1]Responses!$I$2:$I$4001,"Wrong")</f>
        <v>1</v>
      </c>
      <c r="Q38" s="2">
        <f>ROUND(SUMIFS([1]Responses!$J$2:$J$4001,[1]Responses!$B$2:$B$4001,$A38,[1]Responses!$K$2:$K$4001,"Low"),2)</f>
        <v>13.23</v>
      </c>
      <c r="R38" s="2">
        <f>ROUND(SUMIFS([1]Responses!$AB$2:$AB$4001,[1]Responses!$B$2:$B$4001,$A38),2)</f>
        <v>20.03</v>
      </c>
      <c r="S38" t="str">
        <f>IF(R38&gt;='[1]Reward Model'!$B$8,"Gold",IF(R38&gt;='[1]Reward Model'!$B$9,"Silver","Bronze"))</f>
        <v>Bronze</v>
      </c>
      <c r="T38" s="2">
        <f>ROUND(R38/'[1]Reward Model'!$B$7*100,2)</f>
        <v>48.85</v>
      </c>
    </row>
    <row r="39" spans="1:20" x14ac:dyDescent="0.25">
      <c r="A39" t="s">
        <v>60</v>
      </c>
      <c r="B39" t="s">
        <v>21</v>
      </c>
      <c r="C39" t="s">
        <v>53</v>
      </c>
      <c r="D39">
        <f t="shared" si="0"/>
        <v>20</v>
      </c>
      <c r="E39" s="2">
        <f t="shared" si="1"/>
        <v>28.55</v>
      </c>
      <c r="F39">
        <f>COUNTIFS([1]Responses!$B$2:$B$4001,$A39)</f>
        <v>20</v>
      </c>
      <c r="G39">
        <f t="shared" si="3"/>
        <v>11</v>
      </c>
      <c r="H39">
        <f t="shared" si="3"/>
        <v>9</v>
      </c>
      <c r="I39">
        <f>COUNTIFS([1]Responses!$B$2:$B$4001,$A39,[1]Responses!$K$2:$K$4001,"High",[1]Responses!$I$2:$I$4001,"Correct")</f>
        <v>2</v>
      </c>
      <c r="J39">
        <f>COUNTIFS([1]Responses!$B$2:$B$4001,$A39,[1]Responses!$K$2:$K$4001,"High",[1]Responses!$I$2:$I$4001,"Wrong")</f>
        <v>3</v>
      </c>
      <c r="K39" s="2">
        <f>ROUND(SUMIFS([1]Responses!$J$2:$J$4001,[1]Responses!$B$2:$B$4001,$A39,[1]Responses!$K$2:$K$4001,"High"),2)</f>
        <v>9.25</v>
      </c>
      <c r="L39">
        <f>COUNTIFS([1]Responses!$B$2:$B$4001,$A39,[1]Responses!$K$2:$K$4001,"Medium",[1]Responses!$I$2:$I$4001,"Correct")</f>
        <v>2</v>
      </c>
      <c r="M39">
        <f>COUNTIFS([1]Responses!$B$2:$B$4001,$A39,[1]Responses!$K$2:$K$4001,"Medium",[1]Responses!$I$2:$I$4001,"Wrong")</f>
        <v>4</v>
      </c>
      <c r="N39" s="2">
        <f>ROUND(SUMIFS([1]Responses!$J$2:$J$4001,[1]Responses!$B$2:$B$4001,$A39,[1]Responses!$K$2:$K$4001,"Medium"),2)</f>
        <v>8.5399999999999991</v>
      </c>
      <c r="O39">
        <f>COUNTIFS([1]Responses!$B$2:$B$4001,$A39,[1]Responses!$K$2:$K$4001,"Low",[1]Responses!$I$2:$I$4001,"Correct")</f>
        <v>7</v>
      </c>
      <c r="P39">
        <f>COUNTIFS([1]Responses!$B$2:$B$4001,$A39,[1]Responses!$K$2:$K$4001,"Low",[1]Responses!$I$2:$I$4001,"Wrong")</f>
        <v>2</v>
      </c>
      <c r="Q39" s="2">
        <f>ROUND(SUMIFS([1]Responses!$J$2:$J$4001,[1]Responses!$B$2:$B$4001,$A39,[1]Responses!$K$2:$K$4001,"Low"),2)</f>
        <v>10.76</v>
      </c>
      <c r="R39" s="2">
        <f>ROUND(SUMIFS([1]Responses!$AB$2:$AB$4001,[1]Responses!$B$2:$B$4001,$A39),2)</f>
        <v>19.010000000000002</v>
      </c>
      <c r="S39" t="str">
        <f>IF(R39&gt;='[1]Reward Model'!$B$8,"Gold",IF(R39&gt;='[1]Reward Model'!$B$9,"Silver","Bronze"))</f>
        <v>Bronze</v>
      </c>
      <c r="T39" s="2">
        <f>ROUND(R39/'[1]Reward Model'!$B$7*100,2)</f>
        <v>46.37</v>
      </c>
    </row>
    <row r="40" spans="1:20" x14ac:dyDescent="0.25">
      <c r="A40" t="s">
        <v>61</v>
      </c>
      <c r="B40" t="s">
        <v>21</v>
      </c>
      <c r="C40" t="s">
        <v>53</v>
      </c>
      <c r="D40">
        <f t="shared" si="0"/>
        <v>20</v>
      </c>
      <c r="E40" s="2">
        <f t="shared" si="1"/>
        <v>33.21</v>
      </c>
      <c r="F40">
        <f>COUNTIFS([1]Responses!$B$2:$B$4001,$A40)</f>
        <v>20</v>
      </c>
      <c r="G40">
        <f t="shared" si="3"/>
        <v>12</v>
      </c>
      <c r="H40">
        <f t="shared" si="3"/>
        <v>8</v>
      </c>
      <c r="I40">
        <f>COUNTIFS([1]Responses!$B$2:$B$4001,$A40,[1]Responses!$K$2:$K$4001,"High",[1]Responses!$I$2:$I$4001,"Correct")</f>
        <v>1</v>
      </c>
      <c r="J40">
        <f>COUNTIFS([1]Responses!$B$2:$B$4001,$A40,[1]Responses!$K$2:$K$4001,"High",[1]Responses!$I$2:$I$4001,"Wrong")</f>
        <v>4</v>
      </c>
      <c r="K40" s="2">
        <f>ROUND(SUMIFS([1]Responses!$J$2:$J$4001,[1]Responses!$B$2:$B$4001,$A40,[1]Responses!$K$2:$K$4001,"High"),2)</f>
        <v>10.72</v>
      </c>
      <c r="L40">
        <f>COUNTIFS([1]Responses!$B$2:$B$4001,$A40,[1]Responses!$K$2:$K$4001,"Medium",[1]Responses!$I$2:$I$4001,"Correct")</f>
        <v>4</v>
      </c>
      <c r="M40">
        <f>COUNTIFS([1]Responses!$B$2:$B$4001,$A40,[1]Responses!$K$2:$K$4001,"Medium",[1]Responses!$I$2:$I$4001,"Wrong")</f>
        <v>2</v>
      </c>
      <c r="N40" s="2">
        <f>ROUND(SUMIFS([1]Responses!$J$2:$J$4001,[1]Responses!$B$2:$B$4001,$A40,[1]Responses!$K$2:$K$4001,"Medium"),2)</f>
        <v>9.4</v>
      </c>
      <c r="O40">
        <f>COUNTIFS([1]Responses!$B$2:$B$4001,$A40,[1]Responses!$K$2:$K$4001,"Low",[1]Responses!$I$2:$I$4001,"Correct")</f>
        <v>7</v>
      </c>
      <c r="P40">
        <f>COUNTIFS([1]Responses!$B$2:$B$4001,$A40,[1]Responses!$K$2:$K$4001,"Low",[1]Responses!$I$2:$I$4001,"Wrong")</f>
        <v>2</v>
      </c>
      <c r="Q40" s="2">
        <f>ROUND(SUMIFS([1]Responses!$J$2:$J$4001,[1]Responses!$B$2:$B$4001,$A40,[1]Responses!$K$2:$K$4001,"Low"),2)</f>
        <v>13.09</v>
      </c>
      <c r="R40" s="2">
        <f>ROUND(SUMIFS([1]Responses!$AB$2:$AB$4001,[1]Responses!$B$2:$B$4001,$A40),2)</f>
        <v>19.98</v>
      </c>
      <c r="S40" t="str">
        <f>IF(R40&gt;='[1]Reward Model'!$B$8,"Gold",IF(R40&gt;='[1]Reward Model'!$B$9,"Silver","Bronze"))</f>
        <v>Bronze</v>
      </c>
      <c r="T40" s="2">
        <f>ROUND(R40/'[1]Reward Model'!$B$7*100,2)</f>
        <v>48.73</v>
      </c>
    </row>
    <row r="41" spans="1:20" x14ac:dyDescent="0.25">
      <c r="A41" t="s">
        <v>62</v>
      </c>
      <c r="B41" t="s">
        <v>21</v>
      </c>
      <c r="C41" t="s">
        <v>53</v>
      </c>
      <c r="D41">
        <f t="shared" si="0"/>
        <v>20</v>
      </c>
      <c r="E41" s="2">
        <f t="shared" si="1"/>
        <v>33.21</v>
      </c>
      <c r="F41">
        <f>COUNTIFS([1]Responses!$B$2:$B$4001,$A41)</f>
        <v>20</v>
      </c>
      <c r="G41">
        <f t="shared" si="3"/>
        <v>14</v>
      </c>
      <c r="H41">
        <f t="shared" si="3"/>
        <v>6</v>
      </c>
      <c r="I41">
        <f>COUNTIFS([1]Responses!$B$2:$B$4001,$A41,[1]Responses!$K$2:$K$4001,"High",[1]Responses!$I$2:$I$4001,"Correct")</f>
        <v>4</v>
      </c>
      <c r="J41">
        <f>COUNTIFS([1]Responses!$B$2:$B$4001,$A41,[1]Responses!$K$2:$K$4001,"High",[1]Responses!$I$2:$I$4001,"Wrong")</f>
        <v>1</v>
      </c>
      <c r="K41" s="2">
        <f>ROUND(SUMIFS([1]Responses!$J$2:$J$4001,[1]Responses!$B$2:$B$4001,$A41,[1]Responses!$K$2:$K$4001,"High"),2)</f>
        <v>8.6199999999999992</v>
      </c>
      <c r="L41">
        <f>COUNTIFS([1]Responses!$B$2:$B$4001,$A41,[1]Responses!$K$2:$K$4001,"Medium",[1]Responses!$I$2:$I$4001,"Correct")</f>
        <v>2</v>
      </c>
      <c r="M41">
        <f>COUNTIFS([1]Responses!$B$2:$B$4001,$A41,[1]Responses!$K$2:$K$4001,"Medium",[1]Responses!$I$2:$I$4001,"Wrong")</f>
        <v>4</v>
      </c>
      <c r="N41" s="2">
        <f>ROUND(SUMIFS([1]Responses!$J$2:$J$4001,[1]Responses!$B$2:$B$4001,$A41,[1]Responses!$K$2:$K$4001,"Medium"),2)</f>
        <v>10.09</v>
      </c>
      <c r="O41">
        <f>COUNTIFS([1]Responses!$B$2:$B$4001,$A41,[1]Responses!$K$2:$K$4001,"Low",[1]Responses!$I$2:$I$4001,"Correct")</f>
        <v>8</v>
      </c>
      <c r="P41">
        <f>COUNTIFS([1]Responses!$B$2:$B$4001,$A41,[1]Responses!$K$2:$K$4001,"Low",[1]Responses!$I$2:$I$4001,"Wrong")</f>
        <v>1</v>
      </c>
      <c r="Q41" s="2">
        <f>ROUND(SUMIFS([1]Responses!$J$2:$J$4001,[1]Responses!$B$2:$B$4001,$A41,[1]Responses!$K$2:$K$4001,"Low"),2)</f>
        <v>14.5</v>
      </c>
      <c r="R41" s="2">
        <f>ROUND(SUMIFS([1]Responses!$AB$2:$AB$4001,[1]Responses!$B$2:$B$4001,$A41),2)</f>
        <v>27.83</v>
      </c>
      <c r="S41" t="str">
        <f>IF(R41&gt;='[1]Reward Model'!$B$8,"Gold",IF(R41&gt;='[1]Reward Model'!$B$9,"Silver","Bronze"))</f>
        <v>Silver</v>
      </c>
      <c r="T41" s="2">
        <f>ROUND(R41/'[1]Reward Model'!$B$7*100,2)</f>
        <v>67.88</v>
      </c>
    </row>
    <row r="42" spans="1:20" x14ac:dyDescent="0.25">
      <c r="A42" t="s">
        <v>63</v>
      </c>
      <c r="B42" t="s">
        <v>21</v>
      </c>
      <c r="C42" t="s">
        <v>53</v>
      </c>
      <c r="D42">
        <f t="shared" si="0"/>
        <v>20</v>
      </c>
      <c r="E42" s="2">
        <f t="shared" si="1"/>
        <v>30.22</v>
      </c>
      <c r="F42">
        <f>COUNTIFS([1]Responses!$B$2:$B$4001,$A42)</f>
        <v>20</v>
      </c>
      <c r="G42">
        <f t="shared" si="3"/>
        <v>11</v>
      </c>
      <c r="H42">
        <f t="shared" si="3"/>
        <v>9</v>
      </c>
      <c r="I42">
        <f>COUNTIFS([1]Responses!$B$2:$B$4001,$A42,[1]Responses!$K$2:$K$4001,"High",[1]Responses!$I$2:$I$4001,"Correct")</f>
        <v>1</v>
      </c>
      <c r="J42">
        <f>COUNTIFS([1]Responses!$B$2:$B$4001,$A42,[1]Responses!$K$2:$K$4001,"High",[1]Responses!$I$2:$I$4001,"Wrong")</f>
        <v>4</v>
      </c>
      <c r="K42" s="2">
        <f>ROUND(SUMIFS([1]Responses!$J$2:$J$4001,[1]Responses!$B$2:$B$4001,$A42,[1]Responses!$K$2:$K$4001,"High"),2)</f>
        <v>8.92</v>
      </c>
      <c r="L42">
        <f>COUNTIFS([1]Responses!$B$2:$B$4001,$A42,[1]Responses!$K$2:$K$4001,"Medium",[1]Responses!$I$2:$I$4001,"Correct")</f>
        <v>3</v>
      </c>
      <c r="M42">
        <f>COUNTIFS([1]Responses!$B$2:$B$4001,$A42,[1]Responses!$K$2:$K$4001,"Medium",[1]Responses!$I$2:$I$4001,"Wrong")</f>
        <v>3</v>
      </c>
      <c r="N42" s="2">
        <f>ROUND(SUMIFS([1]Responses!$J$2:$J$4001,[1]Responses!$B$2:$B$4001,$A42,[1]Responses!$K$2:$K$4001,"Medium"),2)</f>
        <v>8.99</v>
      </c>
      <c r="O42">
        <f>COUNTIFS([1]Responses!$B$2:$B$4001,$A42,[1]Responses!$K$2:$K$4001,"Low",[1]Responses!$I$2:$I$4001,"Correct")</f>
        <v>7</v>
      </c>
      <c r="P42">
        <f>COUNTIFS([1]Responses!$B$2:$B$4001,$A42,[1]Responses!$K$2:$K$4001,"Low",[1]Responses!$I$2:$I$4001,"Wrong")</f>
        <v>2</v>
      </c>
      <c r="Q42" s="2">
        <f>ROUND(SUMIFS([1]Responses!$J$2:$J$4001,[1]Responses!$B$2:$B$4001,$A42,[1]Responses!$K$2:$K$4001,"Low"),2)</f>
        <v>12.31</v>
      </c>
      <c r="R42" s="2">
        <f>ROUND(SUMIFS([1]Responses!$AB$2:$AB$4001,[1]Responses!$B$2:$B$4001,$A42),2)</f>
        <v>20.34</v>
      </c>
      <c r="S42" t="str">
        <f>IF(R42&gt;='[1]Reward Model'!$B$8,"Gold",IF(R42&gt;='[1]Reward Model'!$B$9,"Silver","Bronze"))</f>
        <v>Bronze</v>
      </c>
      <c r="T42" s="2">
        <f>ROUND(R42/'[1]Reward Model'!$B$7*100,2)</f>
        <v>49.61</v>
      </c>
    </row>
    <row r="43" spans="1:20" x14ac:dyDescent="0.25">
      <c r="A43" t="s">
        <v>64</v>
      </c>
      <c r="B43" t="s">
        <v>21</v>
      </c>
      <c r="C43" t="s">
        <v>53</v>
      </c>
      <c r="D43">
        <f t="shared" si="0"/>
        <v>20</v>
      </c>
      <c r="E43" s="2">
        <f t="shared" si="1"/>
        <v>33.78</v>
      </c>
      <c r="F43">
        <f>COUNTIFS([1]Responses!$B$2:$B$4001,$A43)</f>
        <v>20</v>
      </c>
      <c r="G43">
        <f t="shared" si="3"/>
        <v>14</v>
      </c>
      <c r="H43">
        <f t="shared" si="3"/>
        <v>6</v>
      </c>
      <c r="I43">
        <f>COUNTIFS([1]Responses!$B$2:$B$4001,$A43,[1]Responses!$K$2:$K$4001,"High",[1]Responses!$I$2:$I$4001,"Correct")</f>
        <v>2</v>
      </c>
      <c r="J43">
        <f>COUNTIFS([1]Responses!$B$2:$B$4001,$A43,[1]Responses!$K$2:$K$4001,"High",[1]Responses!$I$2:$I$4001,"Wrong")</f>
        <v>3</v>
      </c>
      <c r="K43" s="2">
        <f>ROUND(SUMIFS([1]Responses!$J$2:$J$4001,[1]Responses!$B$2:$B$4001,$A43,[1]Responses!$K$2:$K$4001,"High"),2)</f>
        <v>8.43</v>
      </c>
      <c r="L43">
        <f>COUNTIFS([1]Responses!$B$2:$B$4001,$A43,[1]Responses!$K$2:$K$4001,"Medium",[1]Responses!$I$2:$I$4001,"Correct")</f>
        <v>4</v>
      </c>
      <c r="M43">
        <f>COUNTIFS([1]Responses!$B$2:$B$4001,$A43,[1]Responses!$K$2:$K$4001,"Medium",[1]Responses!$I$2:$I$4001,"Wrong")</f>
        <v>2</v>
      </c>
      <c r="N43" s="2">
        <f>ROUND(SUMIFS([1]Responses!$J$2:$J$4001,[1]Responses!$B$2:$B$4001,$A43,[1]Responses!$K$2:$K$4001,"Medium"),2)</f>
        <v>11.58</v>
      </c>
      <c r="O43">
        <f>COUNTIFS([1]Responses!$B$2:$B$4001,$A43,[1]Responses!$K$2:$K$4001,"Low",[1]Responses!$I$2:$I$4001,"Correct")</f>
        <v>8</v>
      </c>
      <c r="P43">
        <f>COUNTIFS([1]Responses!$B$2:$B$4001,$A43,[1]Responses!$K$2:$K$4001,"Low",[1]Responses!$I$2:$I$4001,"Wrong")</f>
        <v>1</v>
      </c>
      <c r="Q43" s="2">
        <f>ROUND(SUMIFS([1]Responses!$J$2:$J$4001,[1]Responses!$B$2:$B$4001,$A43,[1]Responses!$K$2:$K$4001,"Low"),2)</f>
        <v>13.77</v>
      </c>
      <c r="R43" s="2">
        <f>ROUND(SUMIFS([1]Responses!$AB$2:$AB$4001,[1]Responses!$B$2:$B$4001,$A43),2)</f>
        <v>23.25</v>
      </c>
      <c r="S43" t="str">
        <f>IF(R43&gt;='[1]Reward Model'!$B$8,"Gold",IF(R43&gt;='[1]Reward Model'!$B$9,"Silver","Bronze"))</f>
        <v>Silver</v>
      </c>
      <c r="T43" s="2">
        <f>ROUND(R43/'[1]Reward Model'!$B$7*100,2)</f>
        <v>56.71</v>
      </c>
    </row>
    <row r="44" spans="1:20" x14ac:dyDescent="0.25">
      <c r="A44" t="s">
        <v>65</v>
      </c>
      <c r="B44" t="s">
        <v>21</v>
      </c>
      <c r="C44" t="s">
        <v>53</v>
      </c>
      <c r="D44">
        <f t="shared" si="0"/>
        <v>20</v>
      </c>
      <c r="E44" s="2">
        <f t="shared" si="1"/>
        <v>34.04</v>
      </c>
      <c r="F44">
        <f>COUNTIFS([1]Responses!$B$2:$B$4001,$A44)</f>
        <v>20</v>
      </c>
      <c r="G44">
        <f t="shared" si="3"/>
        <v>9</v>
      </c>
      <c r="H44">
        <f t="shared" si="3"/>
        <v>11</v>
      </c>
      <c r="I44">
        <f>COUNTIFS([1]Responses!$B$2:$B$4001,$A44,[1]Responses!$K$2:$K$4001,"High",[1]Responses!$I$2:$I$4001,"Correct")</f>
        <v>1</v>
      </c>
      <c r="J44">
        <f>COUNTIFS([1]Responses!$B$2:$B$4001,$A44,[1]Responses!$K$2:$K$4001,"High",[1]Responses!$I$2:$I$4001,"Wrong")</f>
        <v>4</v>
      </c>
      <c r="K44" s="2">
        <f>ROUND(SUMIFS([1]Responses!$J$2:$J$4001,[1]Responses!$B$2:$B$4001,$A44,[1]Responses!$K$2:$K$4001,"High"),2)</f>
        <v>9.65</v>
      </c>
      <c r="L44">
        <f>COUNTIFS([1]Responses!$B$2:$B$4001,$A44,[1]Responses!$K$2:$K$4001,"Medium",[1]Responses!$I$2:$I$4001,"Correct")</f>
        <v>2</v>
      </c>
      <c r="M44">
        <f>COUNTIFS([1]Responses!$B$2:$B$4001,$A44,[1]Responses!$K$2:$K$4001,"Medium",[1]Responses!$I$2:$I$4001,"Wrong")</f>
        <v>4</v>
      </c>
      <c r="N44" s="2">
        <f>ROUND(SUMIFS([1]Responses!$J$2:$J$4001,[1]Responses!$B$2:$B$4001,$A44,[1]Responses!$K$2:$K$4001,"Medium"),2)</f>
        <v>11.22</v>
      </c>
      <c r="O44">
        <f>COUNTIFS([1]Responses!$B$2:$B$4001,$A44,[1]Responses!$K$2:$K$4001,"Low",[1]Responses!$I$2:$I$4001,"Correct")</f>
        <v>6</v>
      </c>
      <c r="P44">
        <f>COUNTIFS([1]Responses!$B$2:$B$4001,$A44,[1]Responses!$K$2:$K$4001,"Low",[1]Responses!$I$2:$I$4001,"Wrong")</f>
        <v>3</v>
      </c>
      <c r="Q44" s="2">
        <f>ROUND(SUMIFS([1]Responses!$J$2:$J$4001,[1]Responses!$B$2:$B$4001,$A44,[1]Responses!$K$2:$K$4001,"Low"),2)</f>
        <v>13.17</v>
      </c>
      <c r="R44" s="2">
        <f>ROUND(SUMIFS([1]Responses!$AB$2:$AB$4001,[1]Responses!$B$2:$B$4001,$A44),2)</f>
        <v>15.76</v>
      </c>
      <c r="S44" t="str">
        <f>IF(R44&gt;='[1]Reward Model'!$B$8,"Gold",IF(R44&gt;='[1]Reward Model'!$B$9,"Silver","Bronze"))</f>
        <v>Bronze</v>
      </c>
      <c r="T44" s="2">
        <f>ROUND(R44/'[1]Reward Model'!$B$7*100,2)</f>
        <v>38.44</v>
      </c>
    </row>
    <row r="45" spans="1:20" x14ac:dyDescent="0.25">
      <c r="A45" t="s">
        <v>66</v>
      </c>
      <c r="B45" t="s">
        <v>21</v>
      </c>
      <c r="C45" t="s">
        <v>53</v>
      </c>
      <c r="D45">
        <f t="shared" si="0"/>
        <v>20</v>
      </c>
      <c r="E45" s="2">
        <f t="shared" si="1"/>
        <v>33.25</v>
      </c>
      <c r="F45">
        <f>COUNTIFS([1]Responses!$B$2:$B$4001,$A45)</f>
        <v>20</v>
      </c>
      <c r="G45">
        <f t="shared" si="3"/>
        <v>16</v>
      </c>
      <c r="H45">
        <f t="shared" si="3"/>
        <v>4</v>
      </c>
      <c r="I45">
        <f>COUNTIFS([1]Responses!$B$2:$B$4001,$A45,[1]Responses!$K$2:$K$4001,"High",[1]Responses!$I$2:$I$4001,"Correct")</f>
        <v>4</v>
      </c>
      <c r="J45">
        <f>COUNTIFS([1]Responses!$B$2:$B$4001,$A45,[1]Responses!$K$2:$K$4001,"High",[1]Responses!$I$2:$I$4001,"Wrong")</f>
        <v>1</v>
      </c>
      <c r="K45" s="2">
        <f>ROUND(SUMIFS([1]Responses!$J$2:$J$4001,[1]Responses!$B$2:$B$4001,$A45,[1]Responses!$K$2:$K$4001,"High"),2)</f>
        <v>9.61</v>
      </c>
      <c r="L45">
        <f>COUNTIFS([1]Responses!$B$2:$B$4001,$A45,[1]Responses!$K$2:$K$4001,"Medium",[1]Responses!$I$2:$I$4001,"Correct")</f>
        <v>4</v>
      </c>
      <c r="M45">
        <f>COUNTIFS([1]Responses!$B$2:$B$4001,$A45,[1]Responses!$K$2:$K$4001,"Medium",[1]Responses!$I$2:$I$4001,"Wrong")</f>
        <v>2</v>
      </c>
      <c r="N45" s="2">
        <f>ROUND(SUMIFS([1]Responses!$J$2:$J$4001,[1]Responses!$B$2:$B$4001,$A45,[1]Responses!$K$2:$K$4001,"Medium"),2)</f>
        <v>10.45</v>
      </c>
      <c r="O45">
        <f>COUNTIFS([1]Responses!$B$2:$B$4001,$A45,[1]Responses!$K$2:$K$4001,"Low",[1]Responses!$I$2:$I$4001,"Correct")</f>
        <v>8</v>
      </c>
      <c r="P45">
        <f>COUNTIFS([1]Responses!$B$2:$B$4001,$A45,[1]Responses!$K$2:$K$4001,"Low",[1]Responses!$I$2:$I$4001,"Wrong")</f>
        <v>1</v>
      </c>
      <c r="Q45" s="2">
        <f>ROUND(SUMIFS([1]Responses!$J$2:$J$4001,[1]Responses!$B$2:$B$4001,$A45,[1]Responses!$K$2:$K$4001,"Low"),2)</f>
        <v>13.19</v>
      </c>
      <c r="R45" s="2">
        <f>ROUND(SUMIFS([1]Responses!$AB$2:$AB$4001,[1]Responses!$B$2:$B$4001,$A45),2)</f>
        <v>29.94</v>
      </c>
      <c r="S45" t="str">
        <f>IF(R45&gt;='[1]Reward Model'!$B$8,"Gold",IF(R45&gt;='[1]Reward Model'!$B$9,"Silver","Bronze"))</f>
        <v>Gold</v>
      </c>
      <c r="T45" s="2">
        <f>ROUND(R45/'[1]Reward Model'!$B$7*100,2)</f>
        <v>73.02</v>
      </c>
    </row>
    <row r="46" spans="1:20" x14ac:dyDescent="0.25">
      <c r="A46" t="s">
        <v>67</v>
      </c>
      <c r="B46" t="s">
        <v>21</v>
      </c>
      <c r="C46" t="s">
        <v>53</v>
      </c>
      <c r="D46">
        <f t="shared" si="0"/>
        <v>20</v>
      </c>
      <c r="E46" s="2">
        <f t="shared" si="1"/>
        <v>34.229999999999997</v>
      </c>
      <c r="F46">
        <f>COUNTIFS([1]Responses!$B$2:$B$4001,$A46)</f>
        <v>20</v>
      </c>
      <c r="G46">
        <f t="shared" si="3"/>
        <v>15</v>
      </c>
      <c r="H46">
        <f t="shared" si="3"/>
        <v>5</v>
      </c>
      <c r="I46">
        <f>COUNTIFS([1]Responses!$B$2:$B$4001,$A46,[1]Responses!$K$2:$K$4001,"High",[1]Responses!$I$2:$I$4001,"Correct")</f>
        <v>4</v>
      </c>
      <c r="J46">
        <f>COUNTIFS([1]Responses!$B$2:$B$4001,$A46,[1]Responses!$K$2:$K$4001,"High",[1]Responses!$I$2:$I$4001,"Wrong")</f>
        <v>1</v>
      </c>
      <c r="K46" s="2">
        <f>ROUND(SUMIFS([1]Responses!$J$2:$J$4001,[1]Responses!$B$2:$B$4001,$A46,[1]Responses!$K$2:$K$4001,"High"),2)</f>
        <v>10.57</v>
      </c>
      <c r="L46">
        <f>COUNTIFS([1]Responses!$B$2:$B$4001,$A46,[1]Responses!$K$2:$K$4001,"Medium",[1]Responses!$I$2:$I$4001,"Correct")</f>
        <v>3</v>
      </c>
      <c r="M46">
        <f>COUNTIFS([1]Responses!$B$2:$B$4001,$A46,[1]Responses!$K$2:$K$4001,"Medium",[1]Responses!$I$2:$I$4001,"Wrong")</f>
        <v>3</v>
      </c>
      <c r="N46" s="2">
        <f>ROUND(SUMIFS([1]Responses!$J$2:$J$4001,[1]Responses!$B$2:$B$4001,$A46,[1]Responses!$K$2:$K$4001,"Medium"),2)</f>
        <v>10.08</v>
      </c>
      <c r="O46">
        <f>COUNTIFS([1]Responses!$B$2:$B$4001,$A46,[1]Responses!$K$2:$K$4001,"Low",[1]Responses!$I$2:$I$4001,"Correct")</f>
        <v>8</v>
      </c>
      <c r="P46">
        <f>COUNTIFS([1]Responses!$B$2:$B$4001,$A46,[1]Responses!$K$2:$K$4001,"Low",[1]Responses!$I$2:$I$4001,"Wrong")</f>
        <v>1</v>
      </c>
      <c r="Q46" s="2">
        <f>ROUND(SUMIFS([1]Responses!$J$2:$J$4001,[1]Responses!$B$2:$B$4001,$A46,[1]Responses!$K$2:$K$4001,"Low"),2)</f>
        <v>13.58</v>
      </c>
      <c r="R46" s="2">
        <f>ROUND(SUMIFS([1]Responses!$AB$2:$AB$4001,[1]Responses!$B$2:$B$4001,$A46),2)</f>
        <v>27.69</v>
      </c>
      <c r="S46" t="str">
        <f>IF(R46&gt;='[1]Reward Model'!$B$8,"Gold",IF(R46&gt;='[1]Reward Model'!$B$9,"Silver","Bronze"))</f>
        <v>Silver</v>
      </c>
      <c r="T46" s="2">
        <f>ROUND(R46/'[1]Reward Model'!$B$7*100,2)</f>
        <v>67.540000000000006</v>
      </c>
    </row>
    <row r="47" spans="1:20" x14ac:dyDescent="0.25">
      <c r="A47" t="s">
        <v>68</v>
      </c>
      <c r="B47" t="s">
        <v>21</v>
      </c>
      <c r="C47" t="s">
        <v>53</v>
      </c>
      <c r="D47">
        <f t="shared" si="0"/>
        <v>20</v>
      </c>
      <c r="E47" s="2">
        <f t="shared" si="1"/>
        <v>35.15</v>
      </c>
      <c r="F47">
        <f>COUNTIFS([1]Responses!$B$2:$B$4001,$A47)</f>
        <v>20</v>
      </c>
      <c r="G47">
        <f t="shared" si="3"/>
        <v>14</v>
      </c>
      <c r="H47">
        <f t="shared" si="3"/>
        <v>6</v>
      </c>
      <c r="I47">
        <f>COUNTIFS([1]Responses!$B$2:$B$4001,$A47,[1]Responses!$K$2:$K$4001,"High",[1]Responses!$I$2:$I$4001,"Correct")</f>
        <v>3</v>
      </c>
      <c r="J47">
        <f>COUNTIFS([1]Responses!$B$2:$B$4001,$A47,[1]Responses!$K$2:$K$4001,"High",[1]Responses!$I$2:$I$4001,"Wrong")</f>
        <v>2</v>
      </c>
      <c r="K47" s="2">
        <f>ROUND(SUMIFS([1]Responses!$J$2:$J$4001,[1]Responses!$B$2:$B$4001,$A47,[1]Responses!$K$2:$K$4001,"High"),2)</f>
        <v>10.77</v>
      </c>
      <c r="L47">
        <f>COUNTIFS([1]Responses!$B$2:$B$4001,$A47,[1]Responses!$K$2:$K$4001,"Medium",[1]Responses!$I$2:$I$4001,"Correct")</f>
        <v>4</v>
      </c>
      <c r="M47">
        <f>COUNTIFS([1]Responses!$B$2:$B$4001,$A47,[1]Responses!$K$2:$K$4001,"Medium",[1]Responses!$I$2:$I$4001,"Wrong")</f>
        <v>2</v>
      </c>
      <c r="N47" s="2">
        <f>ROUND(SUMIFS([1]Responses!$J$2:$J$4001,[1]Responses!$B$2:$B$4001,$A47,[1]Responses!$K$2:$K$4001,"Medium"),2)</f>
        <v>10.72</v>
      </c>
      <c r="O47">
        <f>COUNTIFS([1]Responses!$B$2:$B$4001,$A47,[1]Responses!$K$2:$K$4001,"Low",[1]Responses!$I$2:$I$4001,"Correct")</f>
        <v>7</v>
      </c>
      <c r="P47">
        <f>COUNTIFS([1]Responses!$B$2:$B$4001,$A47,[1]Responses!$K$2:$K$4001,"Low",[1]Responses!$I$2:$I$4001,"Wrong")</f>
        <v>2</v>
      </c>
      <c r="Q47" s="2">
        <f>ROUND(SUMIFS([1]Responses!$J$2:$J$4001,[1]Responses!$B$2:$B$4001,$A47,[1]Responses!$K$2:$K$4001,"Low"),2)</f>
        <v>13.66</v>
      </c>
      <c r="R47" s="2">
        <f>ROUND(SUMIFS([1]Responses!$AB$2:$AB$4001,[1]Responses!$B$2:$B$4001,$A47),2)</f>
        <v>25.43</v>
      </c>
      <c r="S47" t="str">
        <f>IF(R47&gt;='[1]Reward Model'!$B$8,"Gold",IF(R47&gt;='[1]Reward Model'!$B$9,"Silver","Bronze"))</f>
        <v>Silver</v>
      </c>
      <c r="T47" s="2">
        <f>ROUND(R47/'[1]Reward Model'!$B$7*100,2)</f>
        <v>62.02</v>
      </c>
    </row>
    <row r="48" spans="1:20" x14ac:dyDescent="0.25">
      <c r="A48" t="s">
        <v>69</v>
      </c>
      <c r="B48" t="s">
        <v>21</v>
      </c>
      <c r="C48" t="s">
        <v>53</v>
      </c>
      <c r="D48">
        <f t="shared" si="0"/>
        <v>20</v>
      </c>
      <c r="E48" s="2">
        <f t="shared" si="1"/>
        <v>32.26</v>
      </c>
      <c r="F48">
        <f>COUNTIFS([1]Responses!$B$2:$B$4001,$A48)</f>
        <v>20</v>
      </c>
      <c r="G48">
        <f t="shared" si="3"/>
        <v>13</v>
      </c>
      <c r="H48">
        <f t="shared" si="3"/>
        <v>7</v>
      </c>
      <c r="I48">
        <f>COUNTIFS([1]Responses!$B$2:$B$4001,$A48,[1]Responses!$K$2:$K$4001,"High",[1]Responses!$I$2:$I$4001,"Correct")</f>
        <v>2</v>
      </c>
      <c r="J48">
        <f>COUNTIFS([1]Responses!$B$2:$B$4001,$A48,[1]Responses!$K$2:$K$4001,"High",[1]Responses!$I$2:$I$4001,"Wrong")</f>
        <v>3</v>
      </c>
      <c r="K48" s="2">
        <f>ROUND(SUMIFS([1]Responses!$J$2:$J$4001,[1]Responses!$B$2:$B$4001,$A48,[1]Responses!$K$2:$K$4001,"High"),2)</f>
        <v>9.6</v>
      </c>
      <c r="L48">
        <f>COUNTIFS([1]Responses!$B$2:$B$4001,$A48,[1]Responses!$K$2:$K$4001,"Medium",[1]Responses!$I$2:$I$4001,"Correct")</f>
        <v>4</v>
      </c>
      <c r="M48">
        <f>COUNTIFS([1]Responses!$B$2:$B$4001,$A48,[1]Responses!$K$2:$K$4001,"Medium",[1]Responses!$I$2:$I$4001,"Wrong")</f>
        <v>2</v>
      </c>
      <c r="N48" s="2">
        <f>ROUND(SUMIFS([1]Responses!$J$2:$J$4001,[1]Responses!$B$2:$B$4001,$A48,[1]Responses!$K$2:$K$4001,"Medium"),2)</f>
        <v>11.58</v>
      </c>
      <c r="O48">
        <f>COUNTIFS([1]Responses!$B$2:$B$4001,$A48,[1]Responses!$K$2:$K$4001,"Low",[1]Responses!$I$2:$I$4001,"Correct")</f>
        <v>7</v>
      </c>
      <c r="P48">
        <f>COUNTIFS([1]Responses!$B$2:$B$4001,$A48,[1]Responses!$K$2:$K$4001,"Low",[1]Responses!$I$2:$I$4001,"Wrong")</f>
        <v>2</v>
      </c>
      <c r="Q48" s="2">
        <f>ROUND(SUMIFS([1]Responses!$J$2:$J$4001,[1]Responses!$B$2:$B$4001,$A48,[1]Responses!$K$2:$K$4001,"Low"),2)</f>
        <v>11.08</v>
      </c>
      <c r="R48" s="2">
        <f>ROUND(SUMIFS([1]Responses!$AB$2:$AB$4001,[1]Responses!$B$2:$B$4001,$A48),2)</f>
        <v>23.25</v>
      </c>
      <c r="S48" t="str">
        <f>IF(R48&gt;='[1]Reward Model'!$B$8,"Gold",IF(R48&gt;='[1]Reward Model'!$B$9,"Silver","Bronze"))</f>
        <v>Silver</v>
      </c>
      <c r="T48" s="2">
        <f>ROUND(R48/'[1]Reward Model'!$B$7*100,2)</f>
        <v>56.71</v>
      </c>
    </row>
    <row r="49" spans="1:20" x14ac:dyDescent="0.25">
      <c r="A49" t="s">
        <v>70</v>
      </c>
      <c r="B49" t="s">
        <v>21</v>
      </c>
      <c r="C49" t="s">
        <v>53</v>
      </c>
      <c r="D49">
        <f t="shared" si="0"/>
        <v>20</v>
      </c>
      <c r="E49" s="2">
        <f t="shared" si="1"/>
        <v>31.88</v>
      </c>
      <c r="F49">
        <f>COUNTIFS([1]Responses!$B$2:$B$4001,$A49)</f>
        <v>20</v>
      </c>
      <c r="G49">
        <f t="shared" si="3"/>
        <v>12</v>
      </c>
      <c r="H49">
        <f t="shared" si="3"/>
        <v>8</v>
      </c>
      <c r="I49">
        <f>COUNTIFS([1]Responses!$B$2:$B$4001,$A49,[1]Responses!$K$2:$K$4001,"High",[1]Responses!$I$2:$I$4001,"Correct")</f>
        <v>2</v>
      </c>
      <c r="J49">
        <f>COUNTIFS([1]Responses!$B$2:$B$4001,$A49,[1]Responses!$K$2:$K$4001,"High",[1]Responses!$I$2:$I$4001,"Wrong")</f>
        <v>3</v>
      </c>
      <c r="K49" s="2">
        <f>ROUND(SUMIFS([1]Responses!$J$2:$J$4001,[1]Responses!$B$2:$B$4001,$A49,[1]Responses!$K$2:$K$4001,"High"),2)</f>
        <v>9.51</v>
      </c>
      <c r="L49">
        <f>COUNTIFS([1]Responses!$B$2:$B$4001,$A49,[1]Responses!$K$2:$K$4001,"Medium",[1]Responses!$I$2:$I$4001,"Correct")</f>
        <v>3</v>
      </c>
      <c r="M49">
        <f>COUNTIFS([1]Responses!$B$2:$B$4001,$A49,[1]Responses!$K$2:$K$4001,"Medium",[1]Responses!$I$2:$I$4001,"Wrong")</f>
        <v>3</v>
      </c>
      <c r="N49" s="2">
        <f>ROUND(SUMIFS([1]Responses!$J$2:$J$4001,[1]Responses!$B$2:$B$4001,$A49,[1]Responses!$K$2:$K$4001,"Medium"),2)</f>
        <v>10.89</v>
      </c>
      <c r="O49">
        <f>COUNTIFS([1]Responses!$B$2:$B$4001,$A49,[1]Responses!$K$2:$K$4001,"Low",[1]Responses!$I$2:$I$4001,"Correct")</f>
        <v>7</v>
      </c>
      <c r="P49">
        <f>COUNTIFS([1]Responses!$B$2:$B$4001,$A49,[1]Responses!$K$2:$K$4001,"Low",[1]Responses!$I$2:$I$4001,"Wrong")</f>
        <v>2</v>
      </c>
      <c r="Q49" s="2">
        <f>ROUND(SUMIFS([1]Responses!$J$2:$J$4001,[1]Responses!$B$2:$B$4001,$A49,[1]Responses!$K$2:$K$4001,"Low"),2)</f>
        <v>11.48</v>
      </c>
      <c r="R49" s="2">
        <f>ROUND(SUMIFS([1]Responses!$AB$2:$AB$4001,[1]Responses!$B$2:$B$4001,$A49),2)</f>
        <v>21.65</v>
      </c>
      <c r="S49" t="str">
        <f>IF(R49&gt;='[1]Reward Model'!$B$8,"Gold",IF(R49&gt;='[1]Reward Model'!$B$9,"Silver","Bronze"))</f>
        <v>Silver</v>
      </c>
      <c r="T49" s="2">
        <f>ROUND(R49/'[1]Reward Model'!$B$7*100,2)</f>
        <v>52.8</v>
      </c>
    </row>
    <row r="50" spans="1:20" x14ac:dyDescent="0.25">
      <c r="A50" t="s">
        <v>71</v>
      </c>
      <c r="B50" t="s">
        <v>21</v>
      </c>
      <c r="C50" t="s">
        <v>53</v>
      </c>
      <c r="D50">
        <f t="shared" si="0"/>
        <v>20</v>
      </c>
      <c r="E50" s="2">
        <f t="shared" si="1"/>
        <v>33.35</v>
      </c>
      <c r="F50">
        <f>COUNTIFS([1]Responses!$B$2:$B$4001,$A50)</f>
        <v>20</v>
      </c>
      <c r="G50">
        <f t="shared" si="3"/>
        <v>16</v>
      </c>
      <c r="H50">
        <f t="shared" si="3"/>
        <v>4</v>
      </c>
      <c r="I50">
        <f>COUNTIFS([1]Responses!$B$2:$B$4001,$A50,[1]Responses!$K$2:$K$4001,"High",[1]Responses!$I$2:$I$4001,"Correct")</f>
        <v>4</v>
      </c>
      <c r="J50">
        <f>COUNTIFS([1]Responses!$B$2:$B$4001,$A50,[1]Responses!$K$2:$K$4001,"High",[1]Responses!$I$2:$I$4001,"Wrong")</f>
        <v>1</v>
      </c>
      <c r="K50" s="2">
        <f>ROUND(SUMIFS([1]Responses!$J$2:$J$4001,[1]Responses!$B$2:$B$4001,$A50,[1]Responses!$K$2:$K$4001,"High"),2)</f>
        <v>10.81</v>
      </c>
      <c r="L50">
        <f>COUNTIFS([1]Responses!$B$2:$B$4001,$A50,[1]Responses!$K$2:$K$4001,"Medium",[1]Responses!$I$2:$I$4001,"Correct")</f>
        <v>4</v>
      </c>
      <c r="M50">
        <f>COUNTIFS([1]Responses!$B$2:$B$4001,$A50,[1]Responses!$K$2:$K$4001,"Medium",[1]Responses!$I$2:$I$4001,"Wrong")</f>
        <v>2</v>
      </c>
      <c r="N50" s="2">
        <f>ROUND(SUMIFS([1]Responses!$J$2:$J$4001,[1]Responses!$B$2:$B$4001,$A50,[1]Responses!$K$2:$K$4001,"Medium"),2)</f>
        <v>10.5</v>
      </c>
      <c r="O50">
        <f>COUNTIFS([1]Responses!$B$2:$B$4001,$A50,[1]Responses!$K$2:$K$4001,"Low",[1]Responses!$I$2:$I$4001,"Correct")</f>
        <v>8</v>
      </c>
      <c r="P50">
        <f>COUNTIFS([1]Responses!$B$2:$B$4001,$A50,[1]Responses!$K$2:$K$4001,"Low",[1]Responses!$I$2:$I$4001,"Wrong")</f>
        <v>1</v>
      </c>
      <c r="Q50" s="2">
        <f>ROUND(SUMIFS([1]Responses!$J$2:$J$4001,[1]Responses!$B$2:$B$4001,$A50,[1]Responses!$K$2:$K$4001,"Low"),2)</f>
        <v>12.04</v>
      </c>
      <c r="R50" s="2">
        <f>ROUND(SUMIFS([1]Responses!$AB$2:$AB$4001,[1]Responses!$B$2:$B$4001,$A50),2)</f>
        <v>30.29</v>
      </c>
      <c r="S50" t="str">
        <f>IF(R50&gt;='[1]Reward Model'!$B$8,"Gold",IF(R50&gt;='[1]Reward Model'!$B$9,"Silver","Bronze"))</f>
        <v>Gold</v>
      </c>
      <c r="T50" s="2">
        <f>ROUND(R50/'[1]Reward Model'!$B$7*100,2)</f>
        <v>73.88</v>
      </c>
    </row>
    <row r="51" spans="1:20" x14ac:dyDescent="0.25">
      <c r="A51" t="s">
        <v>72</v>
      </c>
      <c r="B51" t="s">
        <v>21</v>
      </c>
      <c r="C51" t="s">
        <v>53</v>
      </c>
      <c r="D51">
        <f t="shared" si="0"/>
        <v>20</v>
      </c>
      <c r="E51" s="2">
        <f t="shared" si="1"/>
        <v>34.83</v>
      </c>
      <c r="F51">
        <f>COUNTIFS([1]Responses!$B$2:$B$4001,$A51)</f>
        <v>20</v>
      </c>
      <c r="G51">
        <f t="shared" si="3"/>
        <v>15</v>
      </c>
      <c r="H51">
        <f t="shared" si="3"/>
        <v>5</v>
      </c>
      <c r="I51">
        <f>COUNTIFS([1]Responses!$B$2:$B$4001,$A51,[1]Responses!$K$2:$K$4001,"High",[1]Responses!$I$2:$I$4001,"Correct")</f>
        <v>4</v>
      </c>
      <c r="J51">
        <f>COUNTIFS([1]Responses!$B$2:$B$4001,$A51,[1]Responses!$K$2:$K$4001,"High",[1]Responses!$I$2:$I$4001,"Wrong")</f>
        <v>1</v>
      </c>
      <c r="K51" s="2">
        <f>ROUND(SUMIFS([1]Responses!$J$2:$J$4001,[1]Responses!$B$2:$B$4001,$A51,[1]Responses!$K$2:$K$4001,"High"),2)</f>
        <v>10.06</v>
      </c>
      <c r="L51">
        <f>COUNTIFS([1]Responses!$B$2:$B$4001,$A51,[1]Responses!$K$2:$K$4001,"Medium",[1]Responses!$I$2:$I$4001,"Correct")</f>
        <v>3</v>
      </c>
      <c r="M51">
        <f>COUNTIFS([1]Responses!$B$2:$B$4001,$A51,[1]Responses!$K$2:$K$4001,"Medium",[1]Responses!$I$2:$I$4001,"Wrong")</f>
        <v>3</v>
      </c>
      <c r="N51" s="2">
        <f>ROUND(SUMIFS([1]Responses!$J$2:$J$4001,[1]Responses!$B$2:$B$4001,$A51,[1]Responses!$K$2:$K$4001,"Medium"),2)</f>
        <v>9.98</v>
      </c>
      <c r="O51">
        <f>COUNTIFS([1]Responses!$B$2:$B$4001,$A51,[1]Responses!$K$2:$K$4001,"Low",[1]Responses!$I$2:$I$4001,"Correct")</f>
        <v>8</v>
      </c>
      <c r="P51">
        <f>COUNTIFS([1]Responses!$B$2:$B$4001,$A51,[1]Responses!$K$2:$K$4001,"Low",[1]Responses!$I$2:$I$4001,"Wrong")</f>
        <v>1</v>
      </c>
      <c r="Q51" s="2">
        <f>ROUND(SUMIFS([1]Responses!$J$2:$J$4001,[1]Responses!$B$2:$B$4001,$A51,[1]Responses!$K$2:$K$4001,"Low"),2)</f>
        <v>14.79</v>
      </c>
      <c r="R51" s="2">
        <f>ROUND(SUMIFS([1]Responses!$AB$2:$AB$4001,[1]Responses!$B$2:$B$4001,$A51),2)</f>
        <v>28.99</v>
      </c>
      <c r="S51" t="str">
        <f>IF(R51&gt;='[1]Reward Model'!$B$8,"Gold",IF(R51&gt;='[1]Reward Model'!$B$9,"Silver","Bronze"))</f>
        <v>Gold</v>
      </c>
      <c r="T51" s="2">
        <f>ROUND(R51/'[1]Reward Model'!$B$7*100,2)</f>
        <v>70.709999999999994</v>
      </c>
    </row>
    <row r="52" spans="1:20" x14ac:dyDescent="0.25">
      <c r="A52" t="s">
        <v>73</v>
      </c>
      <c r="B52" t="s">
        <v>21</v>
      </c>
      <c r="C52" t="s">
        <v>53</v>
      </c>
      <c r="D52">
        <f t="shared" si="0"/>
        <v>20</v>
      </c>
      <c r="E52" s="2">
        <f t="shared" si="1"/>
        <v>30.32</v>
      </c>
      <c r="F52">
        <f>COUNTIFS([1]Responses!$B$2:$B$4001,$A52)</f>
        <v>20</v>
      </c>
      <c r="G52">
        <f t="shared" si="3"/>
        <v>12</v>
      </c>
      <c r="H52">
        <f t="shared" si="3"/>
        <v>8</v>
      </c>
      <c r="I52">
        <f>COUNTIFS([1]Responses!$B$2:$B$4001,$A52,[1]Responses!$K$2:$K$4001,"High",[1]Responses!$I$2:$I$4001,"Correct")</f>
        <v>3</v>
      </c>
      <c r="J52">
        <f>COUNTIFS([1]Responses!$B$2:$B$4001,$A52,[1]Responses!$K$2:$K$4001,"High",[1]Responses!$I$2:$I$4001,"Wrong")</f>
        <v>2</v>
      </c>
      <c r="K52" s="2">
        <f>ROUND(SUMIFS([1]Responses!$J$2:$J$4001,[1]Responses!$B$2:$B$4001,$A52,[1]Responses!$K$2:$K$4001,"High"),2)</f>
        <v>9.68</v>
      </c>
      <c r="L52">
        <f>COUNTIFS([1]Responses!$B$2:$B$4001,$A52,[1]Responses!$K$2:$K$4001,"Medium",[1]Responses!$I$2:$I$4001,"Correct")</f>
        <v>2</v>
      </c>
      <c r="M52">
        <f>COUNTIFS([1]Responses!$B$2:$B$4001,$A52,[1]Responses!$K$2:$K$4001,"Medium",[1]Responses!$I$2:$I$4001,"Wrong")</f>
        <v>4</v>
      </c>
      <c r="N52" s="2">
        <f>ROUND(SUMIFS([1]Responses!$J$2:$J$4001,[1]Responses!$B$2:$B$4001,$A52,[1]Responses!$K$2:$K$4001,"Medium"),2)</f>
        <v>8.8000000000000007</v>
      </c>
      <c r="O52">
        <f>COUNTIFS([1]Responses!$B$2:$B$4001,$A52,[1]Responses!$K$2:$K$4001,"Low",[1]Responses!$I$2:$I$4001,"Correct")</f>
        <v>7</v>
      </c>
      <c r="P52">
        <f>COUNTIFS([1]Responses!$B$2:$B$4001,$A52,[1]Responses!$K$2:$K$4001,"Low",[1]Responses!$I$2:$I$4001,"Wrong")</f>
        <v>2</v>
      </c>
      <c r="Q52" s="2">
        <f>ROUND(SUMIFS([1]Responses!$J$2:$J$4001,[1]Responses!$B$2:$B$4001,$A52,[1]Responses!$K$2:$K$4001,"Low"),2)</f>
        <v>11.84</v>
      </c>
      <c r="R52" s="2">
        <f>ROUND(SUMIFS([1]Responses!$AB$2:$AB$4001,[1]Responses!$B$2:$B$4001,$A52),2)</f>
        <v>21.5</v>
      </c>
      <c r="S52" t="str">
        <f>IF(R52&gt;='[1]Reward Model'!$B$8,"Gold",IF(R52&gt;='[1]Reward Model'!$B$9,"Silver","Bronze"))</f>
        <v>Silver</v>
      </c>
      <c r="T52" s="2">
        <f>ROUND(R52/'[1]Reward Model'!$B$7*100,2)</f>
        <v>52.44</v>
      </c>
    </row>
    <row r="53" spans="1:20" x14ac:dyDescent="0.25">
      <c r="A53" t="s">
        <v>74</v>
      </c>
      <c r="B53" t="s">
        <v>21</v>
      </c>
      <c r="C53" t="s">
        <v>53</v>
      </c>
      <c r="D53">
        <f t="shared" si="0"/>
        <v>20</v>
      </c>
      <c r="E53" s="2">
        <f t="shared" si="1"/>
        <v>31.72</v>
      </c>
      <c r="F53">
        <f>COUNTIFS([1]Responses!$B$2:$B$4001,$A53)</f>
        <v>20</v>
      </c>
      <c r="G53">
        <f t="shared" si="3"/>
        <v>16</v>
      </c>
      <c r="H53">
        <f t="shared" si="3"/>
        <v>4</v>
      </c>
      <c r="I53">
        <f>COUNTIFS([1]Responses!$B$2:$B$4001,$A53,[1]Responses!$K$2:$K$4001,"High",[1]Responses!$I$2:$I$4001,"Correct")</f>
        <v>3</v>
      </c>
      <c r="J53">
        <f>COUNTIFS([1]Responses!$B$2:$B$4001,$A53,[1]Responses!$K$2:$K$4001,"High",[1]Responses!$I$2:$I$4001,"Wrong")</f>
        <v>2</v>
      </c>
      <c r="K53" s="2">
        <f>ROUND(SUMIFS([1]Responses!$J$2:$J$4001,[1]Responses!$B$2:$B$4001,$A53,[1]Responses!$K$2:$K$4001,"High"),2)</f>
        <v>9.6300000000000008</v>
      </c>
      <c r="L53">
        <f>COUNTIFS([1]Responses!$B$2:$B$4001,$A53,[1]Responses!$K$2:$K$4001,"Medium",[1]Responses!$I$2:$I$4001,"Correct")</f>
        <v>5</v>
      </c>
      <c r="M53">
        <f>COUNTIFS([1]Responses!$B$2:$B$4001,$A53,[1]Responses!$K$2:$K$4001,"Medium",[1]Responses!$I$2:$I$4001,"Wrong")</f>
        <v>1</v>
      </c>
      <c r="N53" s="2">
        <f>ROUND(SUMIFS([1]Responses!$J$2:$J$4001,[1]Responses!$B$2:$B$4001,$A53,[1]Responses!$K$2:$K$4001,"Medium"),2)</f>
        <v>9.57</v>
      </c>
      <c r="O53">
        <f>COUNTIFS([1]Responses!$B$2:$B$4001,$A53,[1]Responses!$K$2:$K$4001,"Low",[1]Responses!$I$2:$I$4001,"Correct")</f>
        <v>8</v>
      </c>
      <c r="P53">
        <f>COUNTIFS([1]Responses!$B$2:$B$4001,$A53,[1]Responses!$K$2:$K$4001,"Low",[1]Responses!$I$2:$I$4001,"Wrong")</f>
        <v>1</v>
      </c>
      <c r="Q53" s="2">
        <f>ROUND(SUMIFS([1]Responses!$J$2:$J$4001,[1]Responses!$B$2:$B$4001,$A53,[1]Responses!$K$2:$K$4001,"Low"),2)</f>
        <v>12.52</v>
      </c>
      <c r="R53" s="2">
        <f>ROUND(SUMIFS([1]Responses!$AB$2:$AB$4001,[1]Responses!$B$2:$B$4001,$A53),2)</f>
        <v>30.88</v>
      </c>
      <c r="S53" t="str">
        <f>IF(R53&gt;='[1]Reward Model'!$B$8,"Gold",IF(R53&gt;='[1]Reward Model'!$B$9,"Silver","Bronze"))</f>
        <v>Gold</v>
      </c>
      <c r="T53" s="2">
        <f>ROUND(R53/'[1]Reward Model'!$B$7*100,2)</f>
        <v>75.319999999999993</v>
      </c>
    </row>
    <row r="54" spans="1:20" x14ac:dyDescent="0.25">
      <c r="A54" t="s">
        <v>75</v>
      </c>
      <c r="B54" t="s">
        <v>21</v>
      </c>
      <c r="C54" t="s">
        <v>53</v>
      </c>
      <c r="D54">
        <f t="shared" si="0"/>
        <v>20</v>
      </c>
      <c r="E54" s="2">
        <f t="shared" si="1"/>
        <v>33.29</v>
      </c>
      <c r="F54">
        <f>COUNTIFS([1]Responses!$B$2:$B$4001,$A54)</f>
        <v>20</v>
      </c>
      <c r="G54">
        <f t="shared" si="3"/>
        <v>12</v>
      </c>
      <c r="H54">
        <f t="shared" si="3"/>
        <v>8</v>
      </c>
      <c r="I54">
        <f>COUNTIFS([1]Responses!$B$2:$B$4001,$A54,[1]Responses!$K$2:$K$4001,"High",[1]Responses!$I$2:$I$4001,"Correct")</f>
        <v>1</v>
      </c>
      <c r="J54">
        <f>COUNTIFS([1]Responses!$B$2:$B$4001,$A54,[1]Responses!$K$2:$K$4001,"High",[1]Responses!$I$2:$I$4001,"Wrong")</f>
        <v>4</v>
      </c>
      <c r="K54" s="2">
        <f>ROUND(SUMIFS([1]Responses!$J$2:$J$4001,[1]Responses!$B$2:$B$4001,$A54,[1]Responses!$K$2:$K$4001,"High"),2)</f>
        <v>9.94</v>
      </c>
      <c r="L54">
        <f>COUNTIFS([1]Responses!$B$2:$B$4001,$A54,[1]Responses!$K$2:$K$4001,"Medium",[1]Responses!$I$2:$I$4001,"Correct")</f>
        <v>3</v>
      </c>
      <c r="M54">
        <f>COUNTIFS([1]Responses!$B$2:$B$4001,$A54,[1]Responses!$K$2:$K$4001,"Medium",[1]Responses!$I$2:$I$4001,"Wrong")</f>
        <v>3</v>
      </c>
      <c r="N54" s="2">
        <f>ROUND(SUMIFS([1]Responses!$J$2:$J$4001,[1]Responses!$B$2:$B$4001,$A54,[1]Responses!$K$2:$K$4001,"Medium"),2)</f>
        <v>9.4</v>
      </c>
      <c r="O54">
        <f>COUNTIFS([1]Responses!$B$2:$B$4001,$A54,[1]Responses!$K$2:$K$4001,"Low",[1]Responses!$I$2:$I$4001,"Correct")</f>
        <v>8</v>
      </c>
      <c r="P54">
        <f>COUNTIFS([1]Responses!$B$2:$B$4001,$A54,[1]Responses!$K$2:$K$4001,"Low",[1]Responses!$I$2:$I$4001,"Wrong")</f>
        <v>1</v>
      </c>
      <c r="Q54" s="2">
        <f>ROUND(SUMIFS([1]Responses!$J$2:$J$4001,[1]Responses!$B$2:$B$4001,$A54,[1]Responses!$K$2:$K$4001,"Low"),2)</f>
        <v>13.95</v>
      </c>
      <c r="R54" s="2">
        <f>ROUND(SUMIFS([1]Responses!$AB$2:$AB$4001,[1]Responses!$B$2:$B$4001,$A54),2)</f>
        <v>19.7</v>
      </c>
      <c r="S54" t="str">
        <f>IF(R54&gt;='[1]Reward Model'!$B$8,"Gold",IF(R54&gt;='[1]Reward Model'!$B$9,"Silver","Bronze"))</f>
        <v>Bronze</v>
      </c>
      <c r="T54" s="2">
        <f>ROUND(R54/'[1]Reward Model'!$B$7*100,2)</f>
        <v>48.05</v>
      </c>
    </row>
    <row r="55" spans="1:20" x14ac:dyDescent="0.25">
      <c r="A55" t="s">
        <v>76</v>
      </c>
      <c r="B55" t="s">
        <v>21</v>
      </c>
      <c r="C55" t="s">
        <v>53</v>
      </c>
      <c r="D55">
        <f t="shared" si="0"/>
        <v>20</v>
      </c>
      <c r="E55" s="2">
        <f t="shared" si="1"/>
        <v>31.36</v>
      </c>
      <c r="F55">
        <f>COUNTIFS([1]Responses!$B$2:$B$4001,$A55)</f>
        <v>20</v>
      </c>
      <c r="G55">
        <f t="shared" si="3"/>
        <v>14</v>
      </c>
      <c r="H55">
        <f t="shared" si="3"/>
        <v>6</v>
      </c>
      <c r="I55">
        <f>COUNTIFS([1]Responses!$B$2:$B$4001,$A55,[1]Responses!$K$2:$K$4001,"High",[1]Responses!$I$2:$I$4001,"Correct")</f>
        <v>1</v>
      </c>
      <c r="J55">
        <f>COUNTIFS([1]Responses!$B$2:$B$4001,$A55,[1]Responses!$K$2:$K$4001,"High",[1]Responses!$I$2:$I$4001,"Wrong")</f>
        <v>4</v>
      </c>
      <c r="K55" s="2">
        <f>ROUND(SUMIFS([1]Responses!$J$2:$J$4001,[1]Responses!$B$2:$B$4001,$A55,[1]Responses!$K$2:$K$4001,"High"),2)</f>
        <v>9.77</v>
      </c>
      <c r="L55">
        <f>COUNTIFS([1]Responses!$B$2:$B$4001,$A55,[1]Responses!$K$2:$K$4001,"Medium",[1]Responses!$I$2:$I$4001,"Correct")</f>
        <v>5</v>
      </c>
      <c r="M55">
        <f>COUNTIFS([1]Responses!$B$2:$B$4001,$A55,[1]Responses!$K$2:$K$4001,"Medium",[1]Responses!$I$2:$I$4001,"Wrong")</f>
        <v>1</v>
      </c>
      <c r="N55" s="2">
        <f>ROUND(SUMIFS([1]Responses!$J$2:$J$4001,[1]Responses!$B$2:$B$4001,$A55,[1]Responses!$K$2:$K$4001,"Medium"),2)</f>
        <v>10.1</v>
      </c>
      <c r="O55">
        <f>COUNTIFS([1]Responses!$B$2:$B$4001,$A55,[1]Responses!$K$2:$K$4001,"Low",[1]Responses!$I$2:$I$4001,"Correct")</f>
        <v>8</v>
      </c>
      <c r="P55">
        <f>COUNTIFS([1]Responses!$B$2:$B$4001,$A55,[1]Responses!$K$2:$K$4001,"Low",[1]Responses!$I$2:$I$4001,"Wrong")</f>
        <v>1</v>
      </c>
      <c r="Q55" s="2">
        <f>ROUND(SUMIFS([1]Responses!$J$2:$J$4001,[1]Responses!$B$2:$B$4001,$A55,[1]Responses!$K$2:$K$4001,"Low"),2)</f>
        <v>11.49</v>
      </c>
      <c r="R55" s="2">
        <f>ROUND(SUMIFS([1]Responses!$AB$2:$AB$4001,[1]Responses!$B$2:$B$4001,$A55),2)</f>
        <v>25.13</v>
      </c>
      <c r="S55" t="str">
        <f>IF(R55&gt;='[1]Reward Model'!$B$8,"Gold",IF(R55&gt;='[1]Reward Model'!$B$9,"Silver","Bronze"))</f>
        <v>Silver</v>
      </c>
      <c r="T55" s="2">
        <f>ROUND(R55/'[1]Reward Model'!$B$7*100,2)</f>
        <v>61.29</v>
      </c>
    </row>
    <row r="56" spans="1:20" x14ac:dyDescent="0.25">
      <c r="A56" t="s">
        <v>77</v>
      </c>
      <c r="B56" t="s">
        <v>21</v>
      </c>
      <c r="C56" t="s">
        <v>53</v>
      </c>
      <c r="D56">
        <f t="shared" si="0"/>
        <v>20</v>
      </c>
      <c r="E56" s="2">
        <f t="shared" si="1"/>
        <v>32.86</v>
      </c>
      <c r="F56">
        <f>COUNTIFS([1]Responses!$B$2:$B$4001,$A56)</f>
        <v>20</v>
      </c>
      <c r="G56">
        <f t="shared" si="3"/>
        <v>13</v>
      </c>
      <c r="H56">
        <f t="shared" si="3"/>
        <v>7</v>
      </c>
      <c r="I56">
        <f>COUNTIFS([1]Responses!$B$2:$B$4001,$A56,[1]Responses!$K$2:$K$4001,"High",[1]Responses!$I$2:$I$4001,"Correct")</f>
        <v>1</v>
      </c>
      <c r="J56">
        <f>COUNTIFS([1]Responses!$B$2:$B$4001,$A56,[1]Responses!$K$2:$K$4001,"High",[1]Responses!$I$2:$I$4001,"Wrong")</f>
        <v>4</v>
      </c>
      <c r="K56" s="2">
        <f>ROUND(SUMIFS([1]Responses!$J$2:$J$4001,[1]Responses!$B$2:$B$4001,$A56,[1]Responses!$K$2:$K$4001,"High"),2)</f>
        <v>10.85</v>
      </c>
      <c r="L56">
        <f>COUNTIFS([1]Responses!$B$2:$B$4001,$A56,[1]Responses!$K$2:$K$4001,"Medium",[1]Responses!$I$2:$I$4001,"Correct")</f>
        <v>5</v>
      </c>
      <c r="M56">
        <f>COUNTIFS([1]Responses!$B$2:$B$4001,$A56,[1]Responses!$K$2:$K$4001,"Medium",[1]Responses!$I$2:$I$4001,"Wrong")</f>
        <v>1</v>
      </c>
      <c r="N56" s="2">
        <f>ROUND(SUMIFS([1]Responses!$J$2:$J$4001,[1]Responses!$B$2:$B$4001,$A56,[1]Responses!$K$2:$K$4001,"Medium"),2)</f>
        <v>9.7200000000000006</v>
      </c>
      <c r="O56">
        <f>COUNTIFS([1]Responses!$B$2:$B$4001,$A56,[1]Responses!$K$2:$K$4001,"Low",[1]Responses!$I$2:$I$4001,"Correct")</f>
        <v>7</v>
      </c>
      <c r="P56">
        <f>COUNTIFS([1]Responses!$B$2:$B$4001,$A56,[1]Responses!$K$2:$K$4001,"Low",[1]Responses!$I$2:$I$4001,"Wrong")</f>
        <v>2</v>
      </c>
      <c r="Q56" s="2">
        <f>ROUND(SUMIFS([1]Responses!$J$2:$J$4001,[1]Responses!$B$2:$B$4001,$A56,[1]Responses!$K$2:$K$4001,"Low"),2)</f>
        <v>12.29</v>
      </c>
      <c r="R56" s="2">
        <f>ROUND(SUMIFS([1]Responses!$AB$2:$AB$4001,[1]Responses!$B$2:$B$4001,$A56),2)</f>
        <v>21.77</v>
      </c>
      <c r="S56" t="str">
        <f>IF(R56&gt;='[1]Reward Model'!$B$8,"Gold",IF(R56&gt;='[1]Reward Model'!$B$9,"Silver","Bronze"))</f>
        <v>Silver</v>
      </c>
      <c r="T56" s="2">
        <f>ROUND(R56/'[1]Reward Model'!$B$7*100,2)</f>
        <v>53.1</v>
      </c>
    </row>
    <row r="57" spans="1:20" x14ac:dyDescent="0.25">
      <c r="A57" t="s">
        <v>78</v>
      </c>
      <c r="B57" t="s">
        <v>21</v>
      </c>
      <c r="C57" t="s">
        <v>53</v>
      </c>
      <c r="D57">
        <f t="shared" si="0"/>
        <v>20</v>
      </c>
      <c r="E57" s="2">
        <f t="shared" si="1"/>
        <v>32.39</v>
      </c>
      <c r="F57">
        <f>COUNTIFS([1]Responses!$B$2:$B$4001,$A57)</f>
        <v>20</v>
      </c>
      <c r="G57">
        <f t="shared" si="3"/>
        <v>9</v>
      </c>
      <c r="H57">
        <f t="shared" si="3"/>
        <v>11</v>
      </c>
      <c r="I57">
        <f>COUNTIFS([1]Responses!$B$2:$B$4001,$A57,[1]Responses!$K$2:$K$4001,"High",[1]Responses!$I$2:$I$4001,"Correct")</f>
        <v>1</v>
      </c>
      <c r="J57">
        <f>COUNTIFS([1]Responses!$B$2:$B$4001,$A57,[1]Responses!$K$2:$K$4001,"High",[1]Responses!$I$2:$I$4001,"Wrong")</f>
        <v>4</v>
      </c>
      <c r="K57" s="2">
        <f>ROUND(SUMIFS([1]Responses!$J$2:$J$4001,[1]Responses!$B$2:$B$4001,$A57,[1]Responses!$K$2:$K$4001,"High"),2)</f>
        <v>8.3800000000000008</v>
      </c>
      <c r="L57">
        <f>COUNTIFS([1]Responses!$B$2:$B$4001,$A57,[1]Responses!$K$2:$K$4001,"Medium",[1]Responses!$I$2:$I$4001,"Correct")</f>
        <v>3</v>
      </c>
      <c r="M57">
        <f>COUNTIFS([1]Responses!$B$2:$B$4001,$A57,[1]Responses!$K$2:$K$4001,"Medium",[1]Responses!$I$2:$I$4001,"Wrong")</f>
        <v>3</v>
      </c>
      <c r="N57" s="2">
        <f>ROUND(SUMIFS([1]Responses!$J$2:$J$4001,[1]Responses!$B$2:$B$4001,$A57,[1]Responses!$K$2:$K$4001,"Medium"),2)</f>
        <v>9.83</v>
      </c>
      <c r="O57">
        <f>COUNTIFS([1]Responses!$B$2:$B$4001,$A57,[1]Responses!$K$2:$K$4001,"Low",[1]Responses!$I$2:$I$4001,"Correct")</f>
        <v>5</v>
      </c>
      <c r="P57">
        <f>COUNTIFS([1]Responses!$B$2:$B$4001,$A57,[1]Responses!$K$2:$K$4001,"Low",[1]Responses!$I$2:$I$4001,"Wrong")</f>
        <v>4</v>
      </c>
      <c r="Q57" s="2">
        <f>ROUND(SUMIFS([1]Responses!$J$2:$J$4001,[1]Responses!$B$2:$B$4001,$A57,[1]Responses!$K$2:$K$4001,"Low"),2)</f>
        <v>14.18</v>
      </c>
      <c r="R57" s="2">
        <f>ROUND(SUMIFS([1]Responses!$AB$2:$AB$4001,[1]Responses!$B$2:$B$4001,$A57),2)</f>
        <v>16.25</v>
      </c>
      <c r="S57" t="str">
        <f>IF(R57&gt;='[1]Reward Model'!$B$8,"Gold",IF(R57&gt;='[1]Reward Model'!$B$9,"Silver","Bronze"))</f>
        <v>Bronze</v>
      </c>
      <c r="T57" s="2">
        <f>ROUND(R57/'[1]Reward Model'!$B$7*100,2)</f>
        <v>39.630000000000003</v>
      </c>
    </row>
    <row r="58" spans="1:20" x14ac:dyDescent="0.25">
      <c r="A58" t="s">
        <v>79</v>
      </c>
      <c r="B58" t="s">
        <v>21</v>
      </c>
      <c r="C58" t="s">
        <v>53</v>
      </c>
      <c r="D58">
        <f t="shared" si="0"/>
        <v>20</v>
      </c>
      <c r="E58" s="2">
        <f t="shared" si="1"/>
        <v>35.979999999999997</v>
      </c>
      <c r="F58">
        <f>COUNTIFS([1]Responses!$B$2:$B$4001,$A58)</f>
        <v>20</v>
      </c>
      <c r="G58">
        <f t="shared" si="3"/>
        <v>9</v>
      </c>
      <c r="H58">
        <f t="shared" si="3"/>
        <v>11</v>
      </c>
      <c r="I58">
        <f>COUNTIFS([1]Responses!$B$2:$B$4001,$A58,[1]Responses!$K$2:$K$4001,"High",[1]Responses!$I$2:$I$4001,"Correct")</f>
        <v>2</v>
      </c>
      <c r="J58">
        <f>COUNTIFS([1]Responses!$B$2:$B$4001,$A58,[1]Responses!$K$2:$K$4001,"High",[1]Responses!$I$2:$I$4001,"Wrong")</f>
        <v>3</v>
      </c>
      <c r="K58" s="2">
        <f>ROUND(SUMIFS([1]Responses!$J$2:$J$4001,[1]Responses!$B$2:$B$4001,$A58,[1]Responses!$K$2:$K$4001,"High"),2)</f>
        <v>10.35</v>
      </c>
      <c r="L58">
        <f>COUNTIFS([1]Responses!$B$2:$B$4001,$A58,[1]Responses!$K$2:$K$4001,"Medium",[1]Responses!$I$2:$I$4001,"Correct")</f>
        <v>3</v>
      </c>
      <c r="M58">
        <f>COUNTIFS([1]Responses!$B$2:$B$4001,$A58,[1]Responses!$K$2:$K$4001,"Medium",[1]Responses!$I$2:$I$4001,"Wrong")</f>
        <v>3</v>
      </c>
      <c r="N58" s="2">
        <f>ROUND(SUMIFS([1]Responses!$J$2:$J$4001,[1]Responses!$B$2:$B$4001,$A58,[1]Responses!$K$2:$K$4001,"Medium"),2)</f>
        <v>11.84</v>
      </c>
      <c r="O58">
        <f>COUNTIFS([1]Responses!$B$2:$B$4001,$A58,[1]Responses!$K$2:$K$4001,"Low",[1]Responses!$I$2:$I$4001,"Correct")</f>
        <v>4</v>
      </c>
      <c r="P58">
        <f>COUNTIFS([1]Responses!$B$2:$B$4001,$A58,[1]Responses!$K$2:$K$4001,"Low",[1]Responses!$I$2:$I$4001,"Wrong")</f>
        <v>5</v>
      </c>
      <c r="Q58" s="2">
        <f>ROUND(SUMIFS([1]Responses!$J$2:$J$4001,[1]Responses!$B$2:$B$4001,$A58,[1]Responses!$K$2:$K$4001,"Low"),2)</f>
        <v>13.79</v>
      </c>
      <c r="R58" s="2">
        <f>ROUND(SUMIFS([1]Responses!$AB$2:$AB$4001,[1]Responses!$B$2:$B$4001,$A58),2)</f>
        <v>16.98</v>
      </c>
      <c r="S58" t="str">
        <f>IF(R58&gt;='[1]Reward Model'!$B$8,"Gold",IF(R58&gt;='[1]Reward Model'!$B$9,"Silver","Bronze"))</f>
        <v>Bronze</v>
      </c>
      <c r="T58" s="2">
        <f>ROUND(R58/'[1]Reward Model'!$B$7*100,2)</f>
        <v>41.41</v>
      </c>
    </row>
    <row r="59" spans="1:20" x14ac:dyDescent="0.25">
      <c r="A59" t="s">
        <v>80</v>
      </c>
      <c r="B59" t="s">
        <v>21</v>
      </c>
      <c r="C59" t="s">
        <v>53</v>
      </c>
      <c r="D59">
        <f t="shared" si="0"/>
        <v>20</v>
      </c>
      <c r="E59" s="2">
        <f t="shared" si="1"/>
        <v>33.96</v>
      </c>
      <c r="F59">
        <f>COUNTIFS([1]Responses!$B$2:$B$4001,$A59)</f>
        <v>20</v>
      </c>
      <c r="G59">
        <f t="shared" si="3"/>
        <v>16</v>
      </c>
      <c r="H59">
        <f t="shared" si="3"/>
        <v>4</v>
      </c>
      <c r="I59">
        <f>COUNTIFS([1]Responses!$B$2:$B$4001,$A59,[1]Responses!$K$2:$K$4001,"High",[1]Responses!$I$2:$I$4001,"Correct")</f>
        <v>4</v>
      </c>
      <c r="J59">
        <f>COUNTIFS([1]Responses!$B$2:$B$4001,$A59,[1]Responses!$K$2:$K$4001,"High",[1]Responses!$I$2:$I$4001,"Wrong")</f>
        <v>1</v>
      </c>
      <c r="K59" s="2">
        <f>ROUND(SUMIFS([1]Responses!$J$2:$J$4001,[1]Responses!$B$2:$B$4001,$A59,[1]Responses!$K$2:$K$4001,"High"),2)</f>
        <v>10.79</v>
      </c>
      <c r="L59">
        <f>COUNTIFS([1]Responses!$B$2:$B$4001,$A59,[1]Responses!$K$2:$K$4001,"Medium",[1]Responses!$I$2:$I$4001,"Correct")</f>
        <v>4</v>
      </c>
      <c r="M59">
        <f>COUNTIFS([1]Responses!$B$2:$B$4001,$A59,[1]Responses!$K$2:$K$4001,"Medium",[1]Responses!$I$2:$I$4001,"Wrong")</f>
        <v>2</v>
      </c>
      <c r="N59" s="2">
        <f>ROUND(SUMIFS([1]Responses!$J$2:$J$4001,[1]Responses!$B$2:$B$4001,$A59,[1]Responses!$K$2:$K$4001,"Medium"),2)</f>
        <v>10.23</v>
      </c>
      <c r="O59">
        <f>COUNTIFS([1]Responses!$B$2:$B$4001,$A59,[1]Responses!$K$2:$K$4001,"Low",[1]Responses!$I$2:$I$4001,"Correct")</f>
        <v>8</v>
      </c>
      <c r="P59">
        <f>COUNTIFS([1]Responses!$B$2:$B$4001,$A59,[1]Responses!$K$2:$K$4001,"Low",[1]Responses!$I$2:$I$4001,"Wrong")</f>
        <v>1</v>
      </c>
      <c r="Q59" s="2">
        <f>ROUND(SUMIFS([1]Responses!$J$2:$J$4001,[1]Responses!$B$2:$B$4001,$A59,[1]Responses!$K$2:$K$4001,"Low"),2)</f>
        <v>12.94</v>
      </c>
      <c r="R59" s="2">
        <f>ROUND(SUMIFS([1]Responses!$AB$2:$AB$4001,[1]Responses!$B$2:$B$4001,$A59),2)</f>
        <v>31.33</v>
      </c>
      <c r="S59" t="str">
        <f>IF(R59&gt;='[1]Reward Model'!$B$8,"Gold",IF(R59&gt;='[1]Reward Model'!$B$9,"Silver","Bronze"))</f>
        <v>Gold</v>
      </c>
      <c r="T59" s="2">
        <f>ROUND(R59/'[1]Reward Model'!$B$7*100,2)</f>
        <v>76.41</v>
      </c>
    </row>
    <row r="60" spans="1:20" x14ac:dyDescent="0.25">
      <c r="A60" t="s">
        <v>81</v>
      </c>
      <c r="B60" t="s">
        <v>21</v>
      </c>
      <c r="C60" t="s">
        <v>53</v>
      </c>
      <c r="D60">
        <f t="shared" si="0"/>
        <v>20</v>
      </c>
      <c r="E60" s="2">
        <f t="shared" si="1"/>
        <v>29.11</v>
      </c>
      <c r="F60">
        <f>COUNTIFS([1]Responses!$B$2:$B$4001,$A60)</f>
        <v>20</v>
      </c>
      <c r="G60">
        <f t="shared" si="3"/>
        <v>17</v>
      </c>
      <c r="H60">
        <f t="shared" si="3"/>
        <v>3</v>
      </c>
      <c r="I60">
        <f>COUNTIFS([1]Responses!$B$2:$B$4001,$A60,[1]Responses!$K$2:$K$4001,"High",[1]Responses!$I$2:$I$4001,"Correct")</f>
        <v>4</v>
      </c>
      <c r="J60">
        <f>COUNTIFS([1]Responses!$B$2:$B$4001,$A60,[1]Responses!$K$2:$K$4001,"High",[1]Responses!$I$2:$I$4001,"Wrong")</f>
        <v>1</v>
      </c>
      <c r="K60" s="2">
        <f>ROUND(SUMIFS([1]Responses!$J$2:$J$4001,[1]Responses!$B$2:$B$4001,$A60,[1]Responses!$K$2:$K$4001,"High"),2)</f>
        <v>9.61</v>
      </c>
      <c r="L60">
        <f>COUNTIFS([1]Responses!$B$2:$B$4001,$A60,[1]Responses!$K$2:$K$4001,"Medium",[1]Responses!$I$2:$I$4001,"Correct")</f>
        <v>5</v>
      </c>
      <c r="M60">
        <f>COUNTIFS([1]Responses!$B$2:$B$4001,$A60,[1]Responses!$K$2:$K$4001,"Medium",[1]Responses!$I$2:$I$4001,"Wrong")</f>
        <v>1</v>
      </c>
      <c r="N60" s="2">
        <f>ROUND(SUMIFS([1]Responses!$J$2:$J$4001,[1]Responses!$B$2:$B$4001,$A60,[1]Responses!$K$2:$K$4001,"Medium"),2)</f>
        <v>9.25</v>
      </c>
      <c r="O60">
        <f>COUNTIFS([1]Responses!$B$2:$B$4001,$A60,[1]Responses!$K$2:$K$4001,"Low",[1]Responses!$I$2:$I$4001,"Correct")</f>
        <v>8</v>
      </c>
      <c r="P60">
        <f>COUNTIFS([1]Responses!$B$2:$B$4001,$A60,[1]Responses!$K$2:$K$4001,"Low",[1]Responses!$I$2:$I$4001,"Wrong")</f>
        <v>1</v>
      </c>
      <c r="Q60" s="2">
        <f>ROUND(SUMIFS([1]Responses!$J$2:$J$4001,[1]Responses!$B$2:$B$4001,$A60,[1]Responses!$K$2:$K$4001,"Low"),2)</f>
        <v>10.25</v>
      </c>
      <c r="R60" s="2">
        <f>ROUND(SUMIFS([1]Responses!$AB$2:$AB$4001,[1]Responses!$B$2:$B$4001,$A60),2)</f>
        <v>32.85</v>
      </c>
      <c r="S60" t="str">
        <f>IF(R60&gt;='[1]Reward Model'!$B$8,"Gold",IF(R60&gt;='[1]Reward Model'!$B$9,"Silver","Bronze"))</f>
        <v>Gold</v>
      </c>
      <c r="T60" s="2">
        <f>ROUND(R60/'[1]Reward Model'!$B$7*100,2)</f>
        <v>80.12</v>
      </c>
    </row>
    <row r="61" spans="1:20" x14ac:dyDescent="0.25">
      <c r="A61" t="s">
        <v>82</v>
      </c>
      <c r="B61" t="s">
        <v>21</v>
      </c>
      <c r="C61" t="s">
        <v>53</v>
      </c>
      <c r="D61">
        <f t="shared" si="0"/>
        <v>20</v>
      </c>
      <c r="E61" s="2">
        <f t="shared" si="1"/>
        <v>30.43</v>
      </c>
      <c r="F61">
        <f>COUNTIFS([1]Responses!$B$2:$B$4001,$A61)</f>
        <v>20</v>
      </c>
      <c r="G61">
        <f t="shared" si="3"/>
        <v>15</v>
      </c>
      <c r="H61">
        <f t="shared" si="3"/>
        <v>5</v>
      </c>
      <c r="I61">
        <f>COUNTIFS([1]Responses!$B$2:$B$4001,$A61,[1]Responses!$K$2:$K$4001,"High",[1]Responses!$I$2:$I$4001,"Correct")</f>
        <v>3</v>
      </c>
      <c r="J61">
        <f>COUNTIFS([1]Responses!$B$2:$B$4001,$A61,[1]Responses!$K$2:$K$4001,"High",[1]Responses!$I$2:$I$4001,"Wrong")</f>
        <v>2</v>
      </c>
      <c r="K61" s="2">
        <f>ROUND(SUMIFS([1]Responses!$J$2:$J$4001,[1]Responses!$B$2:$B$4001,$A61,[1]Responses!$K$2:$K$4001,"High"),2)</f>
        <v>8.51</v>
      </c>
      <c r="L61">
        <f>COUNTIFS([1]Responses!$B$2:$B$4001,$A61,[1]Responses!$K$2:$K$4001,"Medium",[1]Responses!$I$2:$I$4001,"Correct")</f>
        <v>5</v>
      </c>
      <c r="M61">
        <f>COUNTIFS([1]Responses!$B$2:$B$4001,$A61,[1]Responses!$K$2:$K$4001,"Medium",[1]Responses!$I$2:$I$4001,"Wrong")</f>
        <v>1</v>
      </c>
      <c r="N61" s="2">
        <f>ROUND(SUMIFS([1]Responses!$J$2:$J$4001,[1]Responses!$B$2:$B$4001,$A61,[1]Responses!$K$2:$K$4001,"Medium"),2)</f>
        <v>8.7200000000000006</v>
      </c>
      <c r="O61">
        <f>COUNTIFS([1]Responses!$B$2:$B$4001,$A61,[1]Responses!$K$2:$K$4001,"Low",[1]Responses!$I$2:$I$4001,"Correct")</f>
        <v>7</v>
      </c>
      <c r="P61">
        <f>COUNTIFS([1]Responses!$B$2:$B$4001,$A61,[1]Responses!$K$2:$K$4001,"Low",[1]Responses!$I$2:$I$4001,"Wrong")</f>
        <v>2</v>
      </c>
      <c r="Q61" s="2">
        <f>ROUND(SUMIFS([1]Responses!$J$2:$J$4001,[1]Responses!$B$2:$B$4001,$A61,[1]Responses!$K$2:$K$4001,"Low"),2)</f>
        <v>13.2</v>
      </c>
      <c r="R61" s="2">
        <f>ROUND(SUMIFS([1]Responses!$AB$2:$AB$4001,[1]Responses!$B$2:$B$4001,$A61),2)</f>
        <v>29.22</v>
      </c>
      <c r="S61" t="str">
        <f>IF(R61&gt;='[1]Reward Model'!$B$8,"Gold",IF(R61&gt;='[1]Reward Model'!$B$9,"Silver","Bronze"))</f>
        <v>Gold</v>
      </c>
      <c r="T61" s="2">
        <f>ROUND(R61/'[1]Reward Model'!$B$7*100,2)</f>
        <v>71.27</v>
      </c>
    </row>
    <row r="62" spans="1:20" x14ac:dyDescent="0.25">
      <c r="A62" t="s">
        <v>83</v>
      </c>
      <c r="B62" t="s">
        <v>21</v>
      </c>
      <c r="C62" t="s">
        <v>53</v>
      </c>
      <c r="D62">
        <f t="shared" si="0"/>
        <v>20</v>
      </c>
      <c r="E62" s="2">
        <f t="shared" si="1"/>
        <v>33.049999999999997</v>
      </c>
      <c r="F62">
        <f>COUNTIFS([1]Responses!$B$2:$B$4001,$A62)</f>
        <v>20</v>
      </c>
      <c r="G62">
        <f t="shared" si="3"/>
        <v>17</v>
      </c>
      <c r="H62">
        <f t="shared" si="3"/>
        <v>3</v>
      </c>
      <c r="I62">
        <f>COUNTIFS([1]Responses!$B$2:$B$4001,$A62,[1]Responses!$K$2:$K$4001,"High",[1]Responses!$I$2:$I$4001,"Correct")</f>
        <v>4</v>
      </c>
      <c r="J62">
        <f>COUNTIFS([1]Responses!$B$2:$B$4001,$A62,[1]Responses!$K$2:$K$4001,"High",[1]Responses!$I$2:$I$4001,"Wrong")</f>
        <v>1</v>
      </c>
      <c r="K62" s="2">
        <f>ROUND(SUMIFS([1]Responses!$J$2:$J$4001,[1]Responses!$B$2:$B$4001,$A62,[1]Responses!$K$2:$K$4001,"High"),2)</f>
        <v>9.82</v>
      </c>
      <c r="L62">
        <f>COUNTIFS([1]Responses!$B$2:$B$4001,$A62,[1]Responses!$K$2:$K$4001,"Medium",[1]Responses!$I$2:$I$4001,"Correct")</f>
        <v>5</v>
      </c>
      <c r="M62">
        <f>COUNTIFS([1]Responses!$B$2:$B$4001,$A62,[1]Responses!$K$2:$K$4001,"Medium",[1]Responses!$I$2:$I$4001,"Wrong")</f>
        <v>1</v>
      </c>
      <c r="N62" s="2">
        <f>ROUND(SUMIFS([1]Responses!$J$2:$J$4001,[1]Responses!$B$2:$B$4001,$A62,[1]Responses!$K$2:$K$4001,"Medium"),2)</f>
        <v>10.7</v>
      </c>
      <c r="O62">
        <f>COUNTIFS([1]Responses!$B$2:$B$4001,$A62,[1]Responses!$K$2:$K$4001,"Low",[1]Responses!$I$2:$I$4001,"Correct")</f>
        <v>8</v>
      </c>
      <c r="P62">
        <f>COUNTIFS([1]Responses!$B$2:$B$4001,$A62,[1]Responses!$K$2:$K$4001,"Low",[1]Responses!$I$2:$I$4001,"Wrong")</f>
        <v>1</v>
      </c>
      <c r="Q62" s="2">
        <f>ROUND(SUMIFS([1]Responses!$J$2:$J$4001,[1]Responses!$B$2:$B$4001,$A62,[1]Responses!$K$2:$K$4001,"Low"),2)</f>
        <v>12.53</v>
      </c>
      <c r="R62" s="2">
        <f>ROUND(SUMIFS([1]Responses!$AB$2:$AB$4001,[1]Responses!$B$2:$B$4001,$A62),2)</f>
        <v>31.85</v>
      </c>
      <c r="S62" t="str">
        <f>IF(R62&gt;='[1]Reward Model'!$B$8,"Gold",IF(R62&gt;='[1]Reward Model'!$B$9,"Silver","Bronze"))</f>
        <v>Gold</v>
      </c>
      <c r="T62" s="2">
        <f>ROUND(R62/'[1]Reward Model'!$B$7*100,2)</f>
        <v>77.680000000000007</v>
      </c>
    </row>
    <row r="63" spans="1:20" x14ac:dyDescent="0.25">
      <c r="A63" t="s">
        <v>84</v>
      </c>
      <c r="B63" t="s">
        <v>21</v>
      </c>
      <c r="C63" t="s">
        <v>53</v>
      </c>
      <c r="D63">
        <f t="shared" si="0"/>
        <v>20</v>
      </c>
      <c r="E63" s="2">
        <f t="shared" si="1"/>
        <v>31.95</v>
      </c>
      <c r="F63">
        <f>COUNTIFS([1]Responses!$B$2:$B$4001,$A63)</f>
        <v>20</v>
      </c>
      <c r="G63">
        <f t="shared" si="3"/>
        <v>13</v>
      </c>
      <c r="H63">
        <f t="shared" si="3"/>
        <v>7</v>
      </c>
      <c r="I63">
        <f>COUNTIFS([1]Responses!$B$2:$B$4001,$A63,[1]Responses!$K$2:$K$4001,"High",[1]Responses!$I$2:$I$4001,"Correct")</f>
        <v>1</v>
      </c>
      <c r="J63">
        <f>COUNTIFS([1]Responses!$B$2:$B$4001,$A63,[1]Responses!$K$2:$K$4001,"High",[1]Responses!$I$2:$I$4001,"Wrong")</f>
        <v>4</v>
      </c>
      <c r="K63" s="2">
        <f>ROUND(SUMIFS([1]Responses!$J$2:$J$4001,[1]Responses!$B$2:$B$4001,$A63,[1]Responses!$K$2:$K$4001,"High"),2)</f>
        <v>9.18</v>
      </c>
      <c r="L63">
        <f>COUNTIFS([1]Responses!$B$2:$B$4001,$A63,[1]Responses!$K$2:$K$4001,"Medium",[1]Responses!$I$2:$I$4001,"Correct")</f>
        <v>4</v>
      </c>
      <c r="M63">
        <f>COUNTIFS([1]Responses!$B$2:$B$4001,$A63,[1]Responses!$K$2:$K$4001,"Medium",[1]Responses!$I$2:$I$4001,"Wrong")</f>
        <v>2</v>
      </c>
      <c r="N63" s="2">
        <f>ROUND(SUMIFS([1]Responses!$J$2:$J$4001,[1]Responses!$B$2:$B$4001,$A63,[1]Responses!$K$2:$K$4001,"Medium"),2)</f>
        <v>9.5399999999999991</v>
      </c>
      <c r="O63">
        <f>COUNTIFS([1]Responses!$B$2:$B$4001,$A63,[1]Responses!$K$2:$K$4001,"Low",[1]Responses!$I$2:$I$4001,"Correct")</f>
        <v>8</v>
      </c>
      <c r="P63">
        <f>COUNTIFS([1]Responses!$B$2:$B$4001,$A63,[1]Responses!$K$2:$K$4001,"Low",[1]Responses!$I$2:$I$4001,"Wrong")</f>
        <v>1</v>
      </c>
      <c r="Q63" s="2">
        <f>ROUND(SUMIFS([1]Responses!$J$2:$J$4001,[1]Responses!$B$2:$B$4001,$A63,[1]Responses!$K$2:$K$4001,"Low"),2)</f>
        <v>13.23</v>
      </c>
      <c r="R63" s="2">
        <f>ROUND(SUMIFS([1]Responses!$AB$2:$AB$4001,[1]Responses!$B$2:$B$4001,$A63),2)</f>
        <v>21.62</v>
      </c>
      <c r="S63" t="str">
        <f>IF(R63&gt;='[1]Reward Model'!$B$8,"Gold",IF(R63&gt;='[1]Reward Model'!$B$9,"Silver","Bronze"))</f>
        <v>Silver</v>
      </c>
      <c r="T63" s="2">
        <f>ROUND(R63/'[1]Reward Model'!$B$7*100,2)</f>
        <v>52.73</v>
      </c>
    </row>
    <row r="64" spans="1:20" x14ac:dyDescent="0.25">
      <c r="A64" t="s">
        <v>85</v>
      </c>
      <c r="B64" t="s">
        <v>21</v>
      </c>
      <c r="C64" t="s">
        <v>53</v>
      </c>
      <c r="D64">
        <f t="shared" si="0"/>
        <v>20</v>
      </c>
      <c r="E64" s="2">
        <f t="shared" si="1"/>
        <v>32.96</v>
      </c>
      <c r="F64">
        <f>COUNTIFS([1]Responses!$B$2:$B$4001,$A64)</f>
        <v>20</v>
      </c>
      <c r="G64">
        <f t="shared" si="3"/>
        <v>15</v>
      </c>
      <c r="H64">
        <f t="shared" si="3"/>
        <v>5</v>
      </c>
      <c r="I64">
        <f>COUNTIFS([1]Responses!$B$2:$B$4001,$A64,[1]Responses!$K$2:$K$4001,"High",[1]Responses!$I$2:$I$4001,"Correct")</f>
        <v>2</v>
      </c>
      <c r="J64">
        <f>COUNTIFS([1]Responses!$B$2:$B$4001,$A64,[1]Responses!$K$2:$K$4001,"High",[1]Responses!$I$2:$I$4001,"Wrong")</f>
        <v>3</v>
      </c>
      <c r="K64" s="2">
        <f>ROUND(SUMIFS([1]Responses!$J$2:$J$4001,[1]Responses!$B$2:$B$4001,$A64,[1]Responses!$K$2:$K$4001,"High"),2)</f>
        <v>9.0299999999999994</v>
      </c>
      <c r="L64">
        <f>COUNTIFS([1]Responses!$B$2:$B$4001,$A64,[1]Responses!$K$2:$K$4001,"Medium",[1]Responses!$I$2:$I$4001,"Correct")</f>
        <v>5</v>
      </c>
      <c r="M64">
        <f>COUNTIFS([1]Responses!$B$2:$B$4001,$A64,[1]Responses!$K$2:$K$4001,"Medium",[1]Responses!$I$2:$I$4001,"Wrong")</f>
        <v>1</v>
      </c>
      <c r="N64" s="2">
        <f>ROUND(SUMIFS([1]Responses!$J$2:$J$4001,[1]Responses!$B$2:$B$4001,$A64,[1]Responses!$K$2:$K$4001,"Medium"),2)</f>
        <v>9.25</v>
      </c>
      <c r="O64">
        <f>COUNTIFS([1]Responses!$B$2:$B$4001,$A64,[1]Responses!$K$2:$K$4001,"Low",[1]Responses!$I$2:$I$4001,"Correct")</f>
        <v>8</v>
      </c>
      <c r="P64">
        <f>COUNTIFS([1]Responses!$B$2:$B$4001,$A64,[1]Responses!$K$2:$K$4001,"Low",[1]Responses!$I$2:$I$4001,"Wrong")</f>
        <v>1</v>
      </c>
      <c r="Q64" s="2">
        <f>ROUND(SUMIFS([1]Responses!$J$2:$J$4001,[1]Responses!$B$2:$B$4001,$A64,[1]Responses!$K$2:$K$4001,"Low"),2)</f>
        <v>14.68</v>
      </c>
      <c r="R64" s="2">
        <f>ROUND(SUMIFS([1]Responses!$AB$2:$AB$4001,[1]Responses!$B$2:$B$4001,$A64),2)</f>
        <v>27.33</v>
      </c>
      <c r="S64" t="str">
        <f>IF(R64&gt;='[1]Reward Model'!$B$8,"Gold",IF(R64&gt;='[1]Reward Model'!$B$9,"Silver","Bronze"))</f>
        <v>Silver</v>
      </c>
      <c r="T64" s="2">
        <f>ROUND(R64/'[1]Reward Model'!$B$7*100,2)</f>
        <v>66.66</v>
      </c>
    </row>
    <row r="65" spans="1:20" x14ac:dyDescent="0.25">
      <c r="A65" t="s">
        <v>86</v>
      </c>
      <c r="B65" t="s">
        <v>21</v>
      </c>
      <c r="C65" t="s">
        <v>53</v>
      </c>
      <c r="D65">
        <f t="shared" si="0"/>
        <v>20</v>
      </c>
      <c r="E65" s="2">
        <f t="shared" si="1"/>
        <v>36.090000000000003</v>
      </c>
      <c r="F65">
        <f>COUNTIFS([1]Responses!$B$2:$B$4001,$A65)</f>
        <v>20</v>
      </c>
      <c r="G65">
        <f t="shared" si="3"/>
        <v>17</v>
      </c>
      <c r="H65">
        <f t="shared" si="3"/>
        <v>3</v>
      </c>
      <c r="I65">
        <f>COUNTIFS([1]Responses!$B$2:$B$4001,$A65,[1]Responses!$K$2:$K$4001,"High",[1]Responses!$I$2:$I$4001,"Correct")</f>
        <v>4</v>
      </c>
      <c r="J65">
        <f>COUNTIFS([1]Responses!$B$2:$B$4001,$A65,[1]Responses!$K$2:$K$4001,"High",[1]Responses!$I$2:$I$4001,"Wrong")</f>
        <v>1</v>
      </c>
      <c r="K65" s="2">
        <f>ROUND(SUMIFS([1]Responses!$J$2:$J$4001,[1]Responses!$B$2:$B$4001,$A65,[1]Responses!$K$2:$K$4001,"High"),2)</f>
        <v>10.4</v>
      </c>
      <c r="L65">
        <f>COUNTIFS([1]Responses!$B$2:$B$4001,$A65,[1]Responses!$K$2:$K$4001,"Medium",[1]Responses!$I$2:$I$4001,"Correct")</f>
        <v>5</v>
      </c>
      <c r="M65">
        <f>COUNTIFS([1]Responses!$B$2:$B$4001,$A65,[1]Responses!$K$2:$K$4001,"Medium",[1]Responses!$I$2:$I$4001,"Wrong")</f>
        <v>1</v>
      </c>
      <c r="N65" s="2">
        <f>ROUND(SUMIFS([1]Responses!$J$2:$J$4001,[1]Responses!$B$2:$B$4001,$A65,[1]Responses!$K$2:$K$4001,"Medium"),2)</f>
        <v>10.7</v>
      </c>
      <c r="O65">
        <f>COUNTIFS([1]Responses!$B$2:$B$4001,$A65,[1]Responses!$K$2:$K$4001,"Low",[1]Responses!$I$2:$I$4001,"Correct")</f>
        <v>8</v>
      </c>
      <c r="P65">
        <f>COUNTIFS([1]Responses!$B$2:$B$4001,$A65,[1]Responses!$K$2:$K$4001,"Low",[1]Responses!$I$2:$I$4001,"Wrong")</f>
        <v>1</v>
      </c>
      <c r="Q65" s="2">
        <f>ROUND(SUMIFS([1]Responses!$J$2:$J$4001,[1]Responses!$B$2:$B$4001,$A65,[1]Responses!$K$2:$K$4001,"Low"),2)</f>
        <v>14.99</v>
      </c>
      <c r="R65" s="2">
        <f>ROUND(SUMIFS([1]Responses!$AB$2:$AB$4001,[1]Responses!$B$2:$B$4001,$A65),2)</f>
        <v>30.96</v>
      </c>
      <c r="S65" t="str">
        <f>IF(R65&gt;='[1]Reward Model'!$B$8,"Gold",IF(R65&gt;='[1]Reward Model'!$B$9,"Silver","Bronze"))</f>
        <v>Gold</v>
      </c>
      <c r="T65" s="2">
        <f>ROUND(R65/'[1]Reward Model'!$B$7*100,2)</f>
        <v>75.510000000000005</v>
      </c>
    </row>
    <row r="66" spans="1:20" x14ac:dyDescent="0.25">
      <c r="A66" t="s">
        <v>87</v>
      </c>
      <c r="B66" t="s">
        <v>21</v>
      </c>
      <c r="C66" t="s">
        <v>53</v>
      </c>
      <c r="D66">
        <f t="shared" ref="D66:D129" si="4">F66</f>
        <v>20</v>
      </c>
      <c r="E66" s="2">
        <f t="shared" ref="E66:E129" si="5">ROUND(K66+N66+Q66,2)</f>
        <v>31.95</v>
      </c>
      <c r="F66">
        <f>COUNTIFS([1]Responses!$B$2:$B$4001,$A66)</f>
        <v>20</v>
      </c>
      <c r="G66">
        <f t="shared" ref="G66:H97" si="6">I66+L66+O66</f>
        <v>11</v>
      </c>
      <c r="H66">
        <f t="shared" si="6"/>
        <v>9</v>
      </c>
      <c r="I66">
        <f>COUNTIFS([1]Responses!$B$2:$B$4001,$A66,[1]Responses!$K$2:$K$4001,"High",[1]Responses!$I$2:$I$4001,"Correct")</f>
        <v>1</v>
      </c>
      <c r="J66">
        <f>COUNTIFS([1]Responses!$B$2:$B$4001,$A66,[1]Responses!$K$2:$K$4001,"High",[1]Responses!$I$2:$I$4001,"Wrong")</f>
        <v>4</v>
      </c>
      <c r="K66" s="2">
        <f>ROUND(SUMIFS([1]Responses!$J$2:$J$4001,[1]Responses!$B$2:$B$4001,$A66,[1]Responses!$K$2:$K$4001,"High"),2)</f>
        <v>8.7899999999999991</v>
      </c>
      <c r="L66">
        <f>COUNTIFS([1]Responses!$B$2:$B$4001,$A66,[1]Responses!$K$2:$K$4001,"Medium",[1]Responses!$I$2:$I$4001,"Correct")</f>
        <v>4</v>
      </c>
      <c r="M66">
        <f>COUNTIFS([1]Responses!$B$2:$B$4001,$A66,[1]Responses!$K$2:$K$4001,"Medium",[1]Responses!$I$2:$I$4001,"Wrong")</f>
        <v>2</v>
      </c>
      <c r="N66" s="2">
        <f>ROUND(SUMIFS([1]Responses!$J$2:$J$4001,[1]Responses!$B$2:$B$4001,$A66,[1]Responses!$K$2:$K$4001,"Medium"),2)</f>
        <v>9.99</v>
      </c>
      <c r="O66">
        <f>COUNTIFS([1]Responses!$B$2:$B$4001,$A66,[1]Responses!$K$2:$K$4001,"Low",[1]Responses!$I$2:$I$4001,"Correct")</f>
        <v>6</v>
      </c>
      <c r="P66">
        <f>COUNTIFS([1]Responses!$B$2:$B$4001,$A66,[1]Responses!$K$2:$K$4001,"Low",[1]Responses!$I$2:$I$4001,"Wrong")</f>
        <v>3</v>
      </c>
      <c r="Q66" s="2">
        <f>ROUND(SUMIFS([1]Responses!$J$2:$J$4001,[1]Responses!$B$2:$B$4001,$A66,[1]Responses!$K$2:$K$4001,"Low"),2)</f>
        <v>13.17</v>
      </c>
      <c r="R66" s="2">
        <f>ROUND(SUMIFS([1]Responses!$AB$2:$AB$4001,[1]Responses!$B$2:$B$4001,$A66),2)</f>
        <v>18.420000000000002</v>
      </c>
      <c r="S66" t="str">
        <f>IF(R66&gt;='[1]Reward Model'!$B$8,"Gold",IF(R66&gt;='[1]Reward Model'!$B$9,"Silver","Bronze"))</f>
        <v>Bronze</v>
      </c>
      <c r="T66" s="2">
        <f>ROUND(R66/'[1]Reward Model'!$B$7*100,2)</f>
        <v>44.93</v>
      </c>
    </row>
    <row r="67" spans="1:20" x14ac:dyDescent="0.25">
      <c r="A67" t="s">
        <v>88</v>
      </c>
      <c r="B67" t="s">
        <v>21</v>
      </c>
      <c r="C67" t="s">
        <v>53</v>
      </c>
      <c r="D67">
        <f t="shared" si="4"/>
        <v>20</v>
      </c>
      <c r="E67" s="2">
        <f t="shared" si="5"/>
        <v>32.270000000000003</v>
      </c>
      <c r="F67">
        <f>COUNTIFS([1]Responses!$B$2:$B$4001,$A67)</f>
        <v>20</v>
      </c>
      <c r="G67">
        <f t="shared" si="6"/>
        <v>17</v>
      </c>
      <c r="H67">
        <f t="shared" si="6"/>
        <v>3</v>
      </c>
      <c r="I67">
        <f>COUNTIFS([1]Responses!$B$2:$B$4001,$A67,[1]Responses!$K$2:$K$4001,"High",[1]Responses!$I$2:$I$4001,"Correct")</f>
        <v>4</v>
      </c>
      <c r="J67">
        <f>COUNTIFS([1]Responses!$B$2:$B$4001,$A67,[1]Responses!$K$2:$K$4001,"High",[1]Responses!$I$2:$I$4001,"Wrong")</f>
        <v>1</v>
      </c>
      <c r="K67" s="2">
        <f>ROUND(SUMIFS([1]Responses!$J$2:$J$4001,[1]Responses!$B$2:$B$4001,$A67,[1]Responses!$K$2:$K$4001,"High"),2)</f>
        <v>9.7899999999999991</v>
      </c>
      <c r="L67">
        <f>COUNTIFS([1]Responses!$B$2:$B$4001,$A67,[1]Responses!$K$2:$K$4001,"Medium",[1]Responses!$I$2:$I$4001,"Correct")</f>
        <v>5</v>
      </c>
      <c r="M67">
        <f>COUNTIFS([1]Responses!$B$2:$B$4001,$A67,[1]Responses!$K$2:$K$4001,"Medium",[1]Responses!$I$2:$I$4001,"Wrong")</f>
        <v>1</v>
      </c>
      <c r="N67" s="2">
        <f>ROUND(SUMIFS([1]Responses!$J$2:$J$4001,[1]Responses!$B$2:$B$4001,$A67,[1]Responses!$K$2:$K$4001,"Medium"),2)</f>
        <v>11.52</v>
      </c>
      <c r="O67">
        <f>COUNTIFS([1]Responses!$B$2:$B$4001,$A67,[1]Responses!$K$2:$K$4001,"Low",[1]Responses!$I$2:$I$4001,"Correct")</f>
        <v>8</v>
      </c>
      <c r="P67">
        <f>COUNTIFS([1]Responses!$B$2:$B$4001,$A67,[1]Responses!$K$2:$K$4001,"Low",[1]Responses!$I$2:$I$4001,"Wrong")</f>
        <v>1</v>
      </c>
      <c r="Q67" s="2">
        <f>ROUND(SUMIFS([1]Responses!$J$2:$J$4001,[1]Responses!$B$2:$B$4001,$A67,[1]Responses!$K$2:$K$4001,"Low"),2)</f>
        <v>10.96</v>
      </c>
      <c r="R67" s="2">
        <f>ROUND(SUMIFS([1]Responses!$AB$2:$AB$4001,[1]Responses!$B$2:$B$4001,$A67),2)</f>
        <v>32.869999999999997</v>
      </c>
      <c r="S67" t="str">
        <f>IF(R67&gt;='[1]Reward Model'!$B$8,"Gold",IF(R67&gt;='[1]Reward Model'!$B$9,"Silver","Bronze"))</f>
        <v>Gold</v>
      </c>
      <c r="T67" s="2">
        <f>ROUND(R67/'[1]Reward Model'!$B$7*100,2)</f>
        <v>80.17</v>
      </c>
    </row>
    <row r="68" spans="1:20" x14ac:dyDescent="0.25">
      <c r="A68" t="s">
        <v>89</v>
      </c>
      <c r="B68" t="s">
        <v>21</v>
      </c>
      <c r="C68" t="s">
        <v>53</v>
      </c>
      <c r="D68">
        <f t="shared" si="4"/>
        <v>20</v>
      </c>
      <c r="E68" s="2">
        <f t="shared" si="5"/>
        <v>34.450000000000003</v>
      </c>
      <c r="F68">
        <f>COUNTIFS([1]Responses!$B$2:$B$4001,$A68)</f>
        <v>20</v>
      </c>
      <c r="G68">
        <f t="shared" si="6"/>
        <v>17</v>
      </c>
      <c r="H68">
        <f t="shared" si="6"/>
        <v>3</v>
      </c>
      <c r="I68">
        <f>COUNTIFS([1]Responses!$B$2:$B$4001,$A68,[1]Responses!$K$2:$K$4001,"High",[1]Responses!$I$2:$I$4001,"Correct")</f>
        <v>4</v>
      </c>
      <c r="J68">
        <f>COUNTIFS([1]Responses!$B$2:$B$4001,$A68,[1]Responses!$K$2:$K$4001,"High",[1]Responses!$I$2:$I$4001,"Wrong")</f>
        <v>1</v>
      </c>
      <c r="K68" s="2">
        <f>ROUND(SUMIFS([1]Responses!$J$2:$J$4001,[1]Responses!$B$2:$B$4001,$A68,[1]Responses!$K$2:$K$4001,"High"),2)</f>
        <v>10.33</v>
      </c>
      <c r="L68">
        <f>COUNTIFS([1]Responses!$B$2:$B$4001,$A68,[1]Responses!$K$2:$K$4001,"Medium",[1]Responses!$I$2:$I$4001,"Correct")</f>
        <v>5</v>
      </c>
      <c r="M68">
        <f>COUNTIFS([1]Responses!$B$2:$B$4001,$A68,[1]Responses!$K$2:$K$4001,"Medium",[1]Responses!$I$2:$I$4001,"Wrong")</f>
        <v>1</v>
      </c>
      <c r="N68" s="2">
        <f>ROUND(SUMIFS([1]Responses!$J$2:$J$4001,[1]Responses!$B$2:$B$4001,$A68,[1]Responses!$K$2:$K$4001,"Medium"),2)</f>
        <v>10.210000000000001</v>
      </c>
      <c r="O68">
        <f>COUNTIFS([1]Responses!$B$2:$B$4001,$A68,[1]Responses!$K$2:$K$4001,"Low",[1]Responses!$I$2:$I$4001,"Correct")</f>
        <v>8</v>
      </c>
      <c r="P68">
        <f>COUNTIFS([1]Responses!$B$2:$B$4001,$A68,[1]Responses!$K$2:$K$4001,"Low",[1]Responses!$I$2:$I$4001,"Wrong")</f>
        <v>1</v>
      </c>
      <c r="Q68" s="2">
        <f>ROUND(SUMIFS([1]Responses!$J$2:$J$4001,[1]Responses!$B$2:$B$4001,$A68,[1]Responses!$K$2:$K$4001,"Low"),2)</f>
        <v>13.91</v>
      </c>
      <c r="R68" s="2">
        <f>ROUND(SUMIFS([1]Responses!$AB$2:$AB$4001,[1]Responses!$B$2:$B$4001,$A68),2)</f>
        <v>31.64</v>
      </c>
      <c r="S68" t="str">
        <f>IF(R68&gt;='[1]Reward Model'!$B$8,"Gold",IF(R68&gt;='[1]Reward Model'!$B$9,"Silver","Bronze"))</f>
        <v>Gold</v>
      </c>
      <c r="T68" s="2">
        <f>ROUND(R68/'[1]Reward Model'!$B$7*100,2)</f>
        <v>77.17</v>
      </c>
    </row>
    <row r="69" spans="1:20" x14ac:dyDescent="0.25">
      <c r="A69" t="s">
        <v>90</v>
      </c>
      <c r="B69" t="s">
        <v>21</v>
      </c>
      <c r="C69" t="s">
        <v>53</v>
      </c>
      <c r="D69">
        <f t="shared" si="4"/>
        <v>20</v>
      </c>
      <c r="E69" s="2">
        <f t="shared" si="5"/>
        <v>32.96</v>
      </c>
      <c r="F69">
        <f>COUNTIFS([1]Responses!$B$2:$B$4001,$A69)</f>
        <v>20</v>
      </c>
      <c r="G69">
        <f t="shared" si="6"/>
        <v>17</v>
      </c>
      <c r="H69">
        <f t="shared" si="6"/>
        <v>3</v>
      </c>
      <c r="I69">
        <f>COUNTIFS([1]Responses!$B$2:$B$4001,$A69,[1]Responses!$K$2:$K$4001,"High",[1]Responses!$I$2:$I$4001,"Correct")</f>
        <v>4</v>
      </c>
      <c r="J69">
        <f>COUNTIFS([1]Responses!$B$2:$B$4001,$A69,[1]Responses!$K$2:$K$4001,"High",[1]Responses!$I$2:$I$4001,"Wrong")</f>
        <v>1</v>
      </c>
      <c r="K69" s="2">
        <f>ROUND(SUMIFS([1]Responses!$J$2:$J$4001,[1]Responses!$B$2:$B$4001,$A69,[1]Responses!$K$2:$K$4001,"High"),2)</f>
        <v>11.34</v>
      </c>
      <c r="L69">
        <f>COUNTIFS([1]Responses!$B$2:$B$4001,$A69,[1]Responses!$K$2:$K$4001,"Medium",[1]Responses!$I$2:$I$4001,"Correct")</f>
        <v>5</v>
      </c>
      <c r="M69">
        <f>COUNTIFS([1]Responses!$B$2:$B$4001,$A69,[1]Responses!$K$2:$K$4001,"Medium",[1]Responses!$I$2:$I$4001,"Wrong")</f>
        <v>1</v>
      </c>
      <c r="N69" s="2">
        <f>ROUND(SUMIFS([1]Responses!$J$2:$J$4001,[1]Responses!$B$2:$B$4001,$A69,[1]Responses!$K$2:$K$4001,"Medium"),2)</f>
        <v>9.81</v>
      </c>
      <c r="O69">
        <f>COUNTIFS([1]Responses!$B$2:$B$4001,$A69,[1]Responses!$K$2:$K$4001,"Low",[1]Responses!$I$2:$I$4001,"Correct")</f>
        <v>8</v>
      </c>
      <c r="P69">
        <f>COUNTIFS([1]Responses!$B$2:$B$4001,$A69,[1]Responses!$K$2:$K$4001,"Low",[1]Responses!$I$2:$I$4001,"Wrong")</f>
        <v>1</v>
      </c>
      <c r="Q69" s="2">
        <f>ROUND(SUMIFS([1]Responses!$J$2:$J$4001,[1]Responses!$B$2:$B$4001,$A69,[1]Responses!$K$2:$K$4001,"Low"),2)</f>
        <v>11.81</v>
      </c>
      <c r="R69" s="2">
        <f>ROUND(SUMIFS([1]Responses!$AB$2:$AB$4001,[1]Responses!$B$2:$B$4001,$A69),2)</f>
        <v>31.81</v>
      </c>
      <c r="S69" t="str">
        <f>IF(R69&gt;='[1]Reward Model'!$B$8,"Gold",IF(R69&gt;='[1]Reward Model'!$B$9,"Silver","Bronze"))</f>
        <v>Gold</v>
      </c>
      <c r="T69" s="2">
        <f>ROUND(R69/'[1]Reward Model'!$B$7*100,2)</f>
        <v>77.59</v>
      </c>
    </row>
    <row r="70" spans="1:20" x14ac:dyDescent="0.25">
      <c r="A70" t="s">
        <v>91</v>
      </c>
      <c r="B70" t="s">
        <v>21</v>
      </c>
      <c r="C70" t="s">
        <v>53</v>
      </c>
      <c r="D70">
        <f t="shared" si="4"/>
        <v>20</v>
      </c>
      <c r="E70" s="2">
        <f t="shared" si="5"/>
        <v>32.409999999999997</v>
      </c>
      <c r="F70">
        <f>COUNTIFS([1]Responses!$B$2:$B$4001,$A70)</f>
        <v>20</v>
      </c>
      <c r="G70">
        <f t="shared" si="6"/>
        <v>15</v>
      </c>
      <c r="H70">
        <f t="shared" si="6"/>
        <v>5</v>
      </c>
      <c r="I70">
        <f>COUNTIFS([1]Responses!$B$2:$B$4001,$A70,[1]Responses!$K$2:$K$4001,"High",[1]Responses!$I$2:$I$4001,"Correct")</f>
        <v>3</v>
      </c>
      <c r="J70">
        <f>COUNTIFS([1]Responses!$B$2:$B$4001,$A70,[1]Responses!$K$2:$K$4001,"High",[1]Responses!$I$2:$I$4001,"Wrong")</f>
        <v>2</v>
      </c>
      <c r="K70" s="2">
        <f>ROUND(SUMIFS([1]Responses!$J$2:$J$4001,[1]Responses!$B$2:$B$4001,$A70,[1]Responses!$K$2:$K$4001,"High"),2)</f>
        <v>9.01</v>
      </c>
      <c r="L70">
        <f>COUNTIFS([1]Responses!$B$2:$B$4001,$A70,[1]Responses!$K$2:$K$4001,"Medium",[1]Responses!$I$2:$I$4001,"Correct")</f>
        <v>5</v>
      </c>
      <c r="M70">
        <f>COUNTIFS([1]Responses!$B$2:$B$4001,$A70,[1]Responses!$K$2:$K$4001,"Medium",[1]Responses!$I$2:$I$4001,"Wrong")</f>
        <v>1</v>
      </c>
      <c r="N70" s="2">
        <f>ROUND(SUMIFS([1]Responses!$J$2:$J$4001,[1]Responses!$B$2:$B$4001,$A70,[1]Responses!$K$2:$K$4001,"Medium"),2)</f>
        <v>10.67</v>
      </c>
      <c r="O70">
        <f>COUNTIFS([1]Responses!$B$2:$B$4001,$A70,[1]Responses!$K$2:$K$4001,"Low",[1]Responses!$I$2:$I$4001,"Correct")</f>
        <v>7</v>
      </c>
      <c r="P70">
        <f>COUNTIFS([1]Responses!$B$2:$B$4001,$A70,[1]Responses!$K$2:$K$4001,"Low",[1]Responses!$I$2:$I$4001,"Wrong")</f>
        <v>2</v>
      </c>
      <c r="Q70" s="2">
        <f>ROUND(SUMIFS([1]Responses!$J$2:$J$4001,[1]Responses!$B$2:$B$4001,$A70,[1]Responses!$K$2:$K$4001,"Low"),2)</f>
        <v>12.73</v>
      </c>
      <c r="R70" s="2">
        <f>ROUND(SUMIFS([1]Responses!$AB$2:$AB$4001,[1]Responses!$B$2:$B$4001,$A70),2)</f>
        <v>28.52</v>
      </c>
      <c r="S70" t="str">
        <f>IF(R70&gt;='[1]Reward Model'!$B$8,"Gold",IF(R70&gt;='[1]Reward Model'!$B$9,"Silver","Bronze"))</f>
        <v>Silver</v>
      </c>
      <c r="T70" s="2">
        <f>ROUND(R70/'[1]Reward Model'!$B$7*100,2)</f>
        <v>69.56</v>
      </c>
    </row>
    <row r="71" spans="1:20" x14ac:dyDescent="0.25">
      <c r="A71" t="s">
        <v>92</v>
      </c>
      <c r="B71" t="s">
        <v>21</v>
      </c>
      <c r="C71" t="s">
        <v>53</v>
      </c>
      <c r="D71">
        <f t="shared" si="4"/>
        <v>20</v>
      </c>
      <c r="E71" s="2">
        <f t="shared" si="5"/>
        <v>29.27</v>
      </c>
      <c r="F71">
        <f>COUNTIFS([1]Responses!$B$2:$B$4001,$A71)</f>
        <v>20</v>
      </c>
      <c r="G71">
        <f t="shared" si="6"/>
        <v>9</v>
      </c>
      <c r="H71">
        <f t="shared" si="6"/>
        <v>11</v>
      </c>
      <c r="I71">
        <f>COUNTIFS([1]Responses!$B$2:$B$4001,$A71,[1]Responses!$K$2:$K$4001,"High",[1]Responses!$I$2:$I$4001,"Correct")</f>
        <v>1</v>
      </c>
      <c r="J71">
        <f>COUNTIFS([1]Responses!$B$2:$B$4001,$A71,[1]Responses!$K$2:$K$4001,"High",[1]Responses!$I$2:$I$4001,"Wrong")</f>
        <v>4</v>
      </c>
      <c r="K71" s="2">
        <f>ROUND(SUMIFS([1]Responses!$J$2:$J$4001,[1]Responses!$B$2:$B$4001,$A71,[1]Responses!$K$2:$K$4001,"High"),2)</f>
        <v>8</v>
      </c>
      <c r="L71">
        <f>COUNTIFS([1]Responses!$B$2:$B$4001,$A71,[1]Responses!$K$2:$K$4001,"Medium",[1]Responses!$I$2:$I$4001,"Correct")</f>
        <v>4</v>
      </c>
      <c r="M71">
        <f>COUNTIFS([1]Responses!$B$2:$B$4001,$A71,[1]Responses!$K$2:$K$4001,"Medium",[1]Responses!$I$2:$I$4001,"Wrong")</f>
        <v>2</v>
      </c>
      <c r="N71" s="2">
        <f>ROUND(SUMIFS([1]Responses!$J$2:$J$4001,[1]Responses!$B$2:$B$4001,$A71,[1]Responses!$K$2:$K$4001,"Medium"),2)</f>
        <v>8.36</v>
      </c>
      <c r="O71">
        <f>COUNTIFS([1]Responses!$B$2:$B$4001,$A71,[1]Responses!$K$2:$K$4001,"Low",[1]Responses!$I$2:$I$4001,"Correct")</f>
        <v>4</v>
      </c>
      <c r="P71">
        <f>COUNTIFS([1]Responses!$B$2:$B$4001,$A71,[1]Responses!$K$2:$K$4001,"Low",[1]Responses!$I$2:$I$4001,"Wrong")</f>
        <v>5</v>
      </c>
      <c r="Q71" s="2">
        <f>ROUND(SUMIFS([1]Responses!$J$2:$J$4001,[1]Responses!$B$2:$B$4001,$A71,[1]Responses!$K$2:$K$4001,"Low"),2)</f>
        <v>12.91</v>
      </c>
      <c r="R71" s="2">
        <f>ROUND(SUMIFS([1]Responses!$AB$2:$AB$4001,[1]Responses!$B$2:$B$4001,$A71),2)</f>
        <v>16.39</v>
      </c>
      <c r="S71" t="str">
        <f>IF(R71&gt;='[1]Reward Model'!$B$8,"Gold",IF(R71&gt;='[1]Reward Model'!$B$9,"Silver","Bronze"))</f>
        <v>Bronze</v>
      </c>
      <c r="T71" s="2">
        <f>ROUND(R71/'[1]Reward Model'!$B$7*100,2)</f>
        <v>39.979999999999997</v>
      </c>
    </row>
    <row r="72" spans="1:20" x14ac:dyDescent="0.25">
      <c r="A72" t="s">
        <v>93</v>
      </c>
      <c r="B72" t="s">
        <v>21</v>
      </c>
      <c r="C72" t="s">
        <v>53</v>
      </c>
      <c r="D72">
        <f t="shared" si="4"/>
        <v>20</v>
      </c>
      <c r="E72" s="2">
        <f t="shared" si="5"/>
        <v>34.619999999999997</v>
      </c>
      <c r="F72">
        <f>COUNTIFS([1]Responses!$B$2:$B$4001,$A72)</f>
        <v>20</v>
      </c>
      <c r="G72">
        <f t="shared" si="6"/>
        <v>14</v>
      </c>
      <c r="H72">
        <f t="shared" si="6"/>
        <v>6</v>
      </c>
      <c r="I72">
        <f>COUNTIFS([1]Responses!$B$2:$B$4001,$A72,[1]Responses!$K$2:$K$4001,"High",[1]Responses!$I$2:$I$4001,"Correct")</f>
        <v>4</v>
      </c>
      <c r="J72">
        <f>COUNTIFS([1]Responses!$B$2:$B$4001,$A72,[1]Responses!$K$2:$K$4001,"High",[1]Responses!$I$2:$I$4001,"Wrong")</f>
        <v>1</v>
      </c>
      <c r="K72" s="2">
        <f>ROUND(SUMIFS([1]Responses!$J$2:$J$4001,[1]Responses!$B$2:$B$4001,$A72,[1]Responses!$K$2:$K$4001,"High"),2)</f>
        <v>9.01</v>
      </c>
      <c r="L72">
        <f>COUNTIFS([1]Responses!$B$2:$B$4001,$A72,[1]Responses!$K$2:$K$4001,"Medium",[1]Responses!$I$2:$I$4001,"Correct")</f>
        <v>4</v>
      </c>
      <c r="M72">
        <f>COUNTIFS([1]Responses!$B$2:$B$4001,$A72,[1]Responses!$K$2:$K$4001,"Medium",[1]Responses!$I$2:$I$4001,"Wrong")</f>
        <v>2</v>
      </c>
      <c r="N72" s="2">
        <f>ROUND(SUMIFS([1]Responses!$J$2:$J$4001,[1]Responses!$B$2:$B$4001,$A72,[1]Responses!$K$2:$K$4001,"Medium"),2)</f>
        <v>10.63</v>
      </c>
      <c r="O72">
        <f>COUNTIFS([1]Responses!$B$2:$B$4001,$A72,[1]Responses!$K$2:$K$4001,"Low",[1]Responses!$I$2:$I$4001,"Correct")</f>
        <v>6</v>
      </c>
      <c r="P72">
        <f>COUNTIFS([1]Responses!$B$2:$B$4001,$A72,[1]Responses!$K$2:$K$4001,"Low",[1]Responses!$I$2:$I$4001,"Wrong")</f>
        <v>3</v>
      </c>
      <c r="Q72" s="2">
        <f>ROUND(SUMIFS([1]Responses!$J$2:$J$4001,[1]Responses!$B$2:$B$4001,$A72,[1]Responses!$K$2:$K$4001,"Low"),2)</f>
        <v>14.98</v>
      </c>
      <c r="R72" s="2">
        <f>ROUND(SUMIFS([1]Responses!$AB$2:$AB$4001,[1]Responses!$B$2:$B$4001,$A72),2)</f>
        <v>26.65</v>
      </c>
      <c r="S72" t="str">
        <f>IF(R72&gt;='[1]Reward Model'!$B$8,"Gold",IF(R72&gt;='[1]Reward Model'!$B$9,"Silver","Bronze"))</f>
        <v>Silver</v>
      </c>
      <c r="T72" s="2">
        <f>ROUND(R72/'[1]Reward Model'!$B$7*100,2)</f>
        <v>65</v>
      </c>
    </row>
    <row r="73" spans="1:20" x14ac:dyDescent="0.25">
      <c r="A73" t="s">
        <v>94</v>
      </c>
      <c r="B73" t="s">
        <v>21</v>
      </c>
      <c r="C73" t="s">
        <v>53</v>
      </c>
      <c r="D73">
        <f t="shared" si="4"/>
        <v>20</v>
      </c>
      <c r="E73" s="2">
        <f t="shared" si="5"/>
        <v>32.24</v>
      </c>
      <c r="F73">
        <f>COUNTIFS([1]Responses!$B$2:$B$4001,$A73)</f>
        <v>20</v>
      </c>
      <c r="G73">
        <f t="shared" si="6"/>
        <v>11</v>
      </c>
      <c r="H73">
        <f t="shared" si="6"/>
        <v>9</v>
      </c>
      <c r="I73">
        <f>COUNTIFS([1]Responses!$B$2:$B$4001,$A73,[1]Responses!$K$2:$K$4001,"High",[1]Responses!$I$2:$I$4001,"Correct")</f>
        <v>2</v>
      </c>
      <c r="J73">
        <f>COUNTIFS([1]Responses!$B$2:$B$4001,$A73,[1]Responses!$K$2:$K$4001,"High",[1]Responses!$I$2:$I$4001,"Wrong")</f>
        <v>3</v>
      </c>
      <c r="K73" s="2">
        <f>ROUND(SUMIFS([1]Responses!$J$2:$J$4001,[1]Responses!$B$2:$B$4001,$A73,[1]Responses!$K$2:$K$4001,"High"),2)</f>
        <v>9.66</v>
      </c>
      <c r="L73">
        <f>COUNTIFS([1]Responses!$B$2:$B$4001,$A73,[1]Responses!$K$2:$K$4001,"Medium",[1]Responses!$I$2:$I$4001,"Correct")</f>
        <v>2</v>
      </c>
      <c r="M73">
        <f>COUNTIFS([1]Responses!$B$2:$B$4001,$A73,[1]Responses!$K$2:$K$4001,"Medium",[1]Responses!$I$2:$I$4001,"Wrong")</f>
        <v>4</v>
      </c>
      <c r="N73" s="2">
        <f>ROUND(SUMIFS([1]Responses!$J$2:$J$4001,[1]Responses!$B$2:$B$4001,$A73,[1]Responses!$K$2:$K$4001,"Medium"),2)</f>
        <v>10.32</v>
      </c>
      <c r="O73">
        <f>COUNTIFS([1]Responses!$B$2:$B$4001,$A73,[1]Responses!$K$2:$K$4001,"Low",[1]Responses!$I$2:$I$4001,"Correct")</f>
        <v>7</v>
      </c>
      <c r="P73">
        <f>COUNTIFS([1]Responses!$B$2:$B$4001,$A73,[1]Responses!$K$2:$K$4001,"Low",[1]Responses!$I$2:$I$4001,"Wrong")</f>
        <v>2</v>
      </c>
      <c r="Q73" s="2">
        <f>ROUND(SUMIFS([1]Responses!$J$2:$J$4001,[1]Responses!$B$2:$B$4001,$A73,[1]Responses!$K$2:$K$4001,"Low"),2)</f>
        <v>12.26</v>
      </c>
      <c r="R73" s="2">
        <f>ROUND(SUMIFS([1]Responses!$AB$2:$AB$4001,[1]Responses!$B$2:$B$4001,$A73),2)</f>
        <v>20.329999999999998</v>
      </c>
      <c r="S73" t="str">
        <f>IF(R73&gt;='[1]Reward Model'!$B$8,"Gold",IF(R73&gt;='[1]Reward Model'!$B$9,"Silver","Bronze"))</f>
        <v>Bronze</v>
      </c>
      <c r="T73" s="2">
        <f>ROUND(R73/'[1]Reward Model'!$B$7*100,2)</f>
        <v>49.59</v>
      </c>
    </row>
    <row r="74" spans="1:20" x14ac:dyDescent="0.25">
      <c r="A74" t="s">
        <v>95</v>
      </c>
      <c r="B74" t="s">
        <v>21</v>
      </c>
      <c r="C74" t="s">
        <v>96</v>
      </c>
      <c r="D74">
        <f t="shared" si="4"/>
        <v>20</v>
      </c>
      <c r="E74" s="2">
        <f t="shared" si="5"/>
        <v>34.119999999999997</v>
      </c>
      <c r="F74">
        <f>COUNTIFS([1]Responses!$B$2:$B$4001,$A74)</f>
        <v>20</v>
      </c>
      <c r="G74">
        <f t="shared" si="6"/>
        <v>15</v>
      </c>
      <c r="H74">
        <f t="shared" si="6"/>
        <v>5</v>
      </c>
      <c r="I74">
        <f>COUNTIFS([1]Responses!$B$2:$B$4001,$A74,[1]Responses!$K$2:$K$4001,"High",[1]Responses!$I$2:$I$4001,"Correct")</f>
        <v>4</v>
      </c>
      <c r="J74">
        <f>COUNTIFS([1]Responses!$B$2:$B$4001,$A74,[1]Responses!$K$2:$K$4001,"High",[1]Responses!$I$2:$I$4001,"Wrong")</f>
        <v>1</v>
      </c>
      <c r="K74" s="2">
        <f>ROUND(SUMIFS([1]Responses!$J$2:$J$4001,[1]Responses!$B$2:$B$4001,$A74,[1]Responses!$K$2:$K$4001,"High"),2)</f>
        <v>9.9600000000000009</v>
      </c>
      <c r="L74">
        <f>COUNTIFS([1]Responses!$B$2:$B$4001,$A74,[1]Responses!$K$2:$K$4001,"Medium",[1]Responses!$I$2:$I$4001,"Correct")</f>
        <v>3</v>
      </c>
      <c r="M74">
        <f>COUNTIFS([1]Responses!$B$2:$B$4001,$A74,[1]Responses!$K$2:$K$4001,"Medium",[1]Responses!$I$2:$I$4001,"Wrong")</f>
        <v>3</v>
      </c>
      <c r="N74" s="2">
        <f>ROUND(SUMIFS([1]Responses!$J$2:$J$4001,[1]Responses!$B$2:$B$4001,$A74,[1]Responses!$K$2:$K$4001,"Medium"),2)</f>
        <v>10.69</v>
      </c>
      <c r="O74">
        <f>COUNTIFS([1]Responses!$B$2:$B$4001,$A74,[1]Responses!$K$2:$K$4001,"Low",[1]Responses!$I$2:$I$4001,"Correct")</f>
        <v>8</v>
      </c>
      <c r="P74">
        <f>COUNTIFS([1]Responses!$B$2:$B$4001,$A74,[1]Responses!$K$2:$K$4001,"Low",[1]Responses!$I$2:$I$4001,"Wrong")</f>
        <v>1</v>
      </c>
      <c r="Q74" s="2">
        <f>ROUND(SUMIFS([1]Responses!$J$2:$J$4001,[1]Responses!$B$2:$B$4001,$A74,[1]Responses!$K$2:$K$4001,"Low"),2)</f>
        <v>13.47</v>
      </c>
      <c r="R74" s="2">
        <f>ROUND(SUMIFS([1]Responses!$AB$2:$AB$4001,[1]Responses!$B$2:$B$4001,$A74),2)</f>
        <v>28.54</v>
      </c>
      <c r="S74" t="str">
        <f>IF(R74&gt;='[1]Reward Model'!$B$8,"Gold",IF(R74&gt;='[1]Reward Model'!$B$9,"Silver","Bronze"))</f>
        <v>Silver</v>
      </c>
      <c r="T74" s="2">
        <f>ROUND(R74/'[1]Reward Model'!$B$7*100,2)</f>
        <v>69.61</v>
      </c>
    </row>
    <row r="75" spans="1:20" x14ac:dyDescent="0.25">
      <c r="A75" t="s">
        <v>97</v>
      </c>
      <c r="B75" t="s">
        <v>21</v>
      </c>
      <c r="C75" t="s">
        <v>96</v>
      </c>
      <c r="D75">
        <f t="shared" si="4"/>
        <v>20</v>
      </c>
      <c r="E75" s="2">
        <f t="shared" si="5"/>
        <v>31.09</v>
      </c>
      <c r="F75">
        <f>COUNTIFS([1]Responses!$B$2:$B$4001,$A75)</f>
        <v>20</v>
      </c>
      <c r="G75">
        <f t="shared" si="6"/>
        <v>14</v>
      </c>
      <c r="H75">
        <f t="shared" si="6"/>
        <v>6</v>
      </c>
      <c r="I75">
        <f>COUNTIFS([1]Responses!$B$2:$B$4001,$A75,[1]Responses!$K$2:$K$4001,"High",[1]Responses!$I$2:$I$4001,"Correct")</f>
        <v>3</v>
      </c>
      <c r="J75">
        <f>COUNTIFS([1]Responses!$B$2:$B$4001,$A75,[1]Responses!$K$2:$K$4001,"High",[1]Responses!$I$2:$I$4001,"Wrong")</f>
        <v>2</v>
      </c>
      <c r="K75" s="2">
        <f>ROUND(SUMIFS([1]Responses!$J$2:$J$4001,[1]Responses!$B$2:$B$4001,$A75,[1]Responses!$K$2:$K$4001,"High"),2)</f>
        <v>8.64</v>
      </c>
      <c r="L75">
        <f>COUNTIFS([1]Responses!$B$2:$B$4001,$A75,[1]Responses!$K$2:$K$4001,"Medium",[1]Responses!$I$2:$I$4001,"Correct")</f>
        <v>3</v>
      </c>
      <c r="M75">
        <f>COUNTIFS([1]Responses!$B$2:$B$4001,$A75,[1]Responses!$K$2:$K$4001,"Medium",[1]Responses!$I$2:$I$4001,"Wrong")</f>
        <v>3</v>
      </c>
      <c r="N75" s="2">
        <f>ROUND(SUMIFS([1]Responses!$J$2:$J$4001,[1]Responses!$B$2:$B$4001,$A75,[1]Responses!$K$2:$K$4001,"Medium"),2)</f>
        <v>10.16</v>
      </c>
      <c r="O75">
        <f>COUNTIFS([1]Responses!$B$2:$B$4001,$A75,[1]Responses!$K$2:$K$4001,"Low",[1]Responses!$I$2:$I$4001,"Correct")</f>
        <v>8</v>
      </c>
      <c r="P75">
        <f>COUNTIFS([1]Responses!$B$2:$B$4001,$A75,[1]Responses!$K$2:$K$4001,"Low",[1]Responses!$I$2:$I$4001,"Wrong")</f>
        <v>1</v>
      </c>
      <c r="Q75" s="2">
        <f>ROUND(SUMIFS([1]Responses!$J$2:$J$4001,[1]Responses!$B$2:$B$4001,$A75,[1]Responses!$K$2:$K$4001,"Low"),2)</f>
        <v>12.29</v>
      </c>
      <c r="R75" s="2">
        <f>ROUND(SUMIFS([1]Responses!$AB$2:$AB$4001,[1]Responses!$B$2:$B$4001,$A75),2)</f>
        <v>26.8</v>
      </c>
      <c r="S75" t="str">
        <f>IF(R75&gt;='[1]Reward Model'!$B$8,"Gold",IF(R75&gt;='[1]Reward Model'!$B$9,"Silver","Bronze"))</f>
        <v>Silver</v>
      </c>
      <c r="T75" s="2">
        <f>ROUND(R75/'[1]Reward Model'!$B$7*100,2)</f>
        <v>65.37</v>
      </c>
    </row>
    <row r="76" spans="1:20" x14ac:dyDescent="0.25">
      <c r="A76" t="s">
        <v>98</v>
      </c>
      <c r="B76" t="s">
        <v>21</v>
      </c>
      <c r="C76" t="s">
        <v>96</v>
      </c>
      <c r="D76">
        <f t="shared" si="4"/>
        <v>20</v>
      </c>
      <c r="E76" s="2">
        <f t="shared" si="5"/>
        <v>30.82</v>
      </c>
      <c r="F76">
        <f>COUNTIFS([1]Responses!$B$2:$B$4001,$A76)</f>
        <v>20</v>
      </c>
      <c r="G76">
        <f t="shared" si="6"/>
        <v>14</v>
      </c>
      <c r="H76">
        <f t="shared" si="6"/>
        <v>6</v>
      </c>
      <c r="I76">
        <f>COUNTIFS([1]Responses!$B$2:$B$4001,$A76,[1]Responses!$K$2:$K$4001,"High",[1]Responses!$I$2:$I$4001,"Correct")</f>
        <v>2</v>
      </c>
      <c r="J76">
        <f>COUNTIFS([1]Responses!$B$2:$B$4001,$A76,[1]Responses!$K$2:$K$4001,"High",[1]Responses!$I$2:$I$4001,"Wrong")</f>
        <v>3</v>
      </c>
      <c r="K76" s="2">
        <f>ROUND(SUMIFS([1]Responses!$J$2:$J$4001,[1]Responses!$B$2:$B$4001,$A76,[1]Responses!$K$2:$K$4001,"High"),2)</f>
        <v>8.92</v>
      </c>
      <c r="L76">
        <f>COUNTIFS([1]Responses!$B$2:$B$4001,$A76,[1]Responses!$K$2:$K$4001,"Medium",[1]Responses!$I$2:$I$4001,"Correct")</f>
        <v>5</v>
      </c>
      <c r="M76">
        <f>COUNTIFS([1]Responses!$B$2:$B$4001,$A76,[1]Responses!$K$2:$K$4001,"Medium",[1]Responses!$I$2:$I$4001,"Wrong")</f>
        <v>1</v>
      </c>
      <c r="N76" s="2">
        <f>ROUND(SUMIFS([1]Responses!$J$2:$J$4001,[1]Responses!$B$2:$B$4001,$A76,[1]Responses!$K$2:$K$4001,"Medium"),2)</f>
        <v>9.7200000000000006</v>
      </c>
      <c r="O76">
        <f>COUNTIFS([1]Responses!$B$2:$B$4001,$A76,[1]Responses!$K$2:$K$4001,"Low",[1]Responses!$I$2:$I$4001,"Correct")</f>
        <v>7</v>
      </c>
      <c r="P76">
        <f>COUNTIFS([1]Responses!$B$2:$B$4001,$A76,[1]Responses!$K$2:$K$4001,"Low",[1]Responses!$I$2:$I$4001,"Wrong")</f>
        <v>2</v>
      </c>
      <c r="Q76" s="2">
        <f>ROUND(SUMIFS([1]Responses!$J$2:$J$4001,[1]Responses!$B$2:$B$4001,$A76,[1]Responses!$K$2:$K$4001,"Low"),2)</f>
        <v>12.18</v>
      </c>
      <c r="R76" s="2">
        <f>ROUND(SUMIFS([1]Responses!$AB$2:$AB$4001,[1]Responses!$B$2:$B$4001,$A76),2)</f>
        <v>26.24</v>
      </c>
      <c r="S76" t="str">
        <f>IF(R76&gt;='[1]Reward Model'!$B$8,"Gold",IF(R76&gt;='[1]Reward Model'!$B$9,"Silver","Bronze"))</f>
        <v>Silver</v>
      </c>
      <c r="T76" s="2">
        <f>ROUND(R76/'[1]Reward Model'!$B$7*100,2)</f>
        <v>64</v>
      </c>
    </row>
    <row r="77" spans="1:20" x14ac:dyDescent="0.25">
      <c r="A77" t="s">
        <v>99</v>
      </c>
      <c r="B77" t="s">
        <v>21</v>
      </c>
      <c r="C77" t="s">
        <v>96</v>
      </c>
      <c r="D77">
        <f t="shared" si="4"/>
        <v>20</v>
      </c>
      <c r="E77" s="2">
        <f t="shared" si="5"/>
        <v>33.729999999999997</v>
      </c>
      <c r="F77">
        <f>COUNTIFS([1]Responses!$B$2:$B$4001,$A77)</f>
        <v>20</v>
      </c>
      <c r="G77">
        <f t="shared" si="6"/>
        <v>14</v>
      </c>
      <c r="H77">
        <f t="shared" si="6"/>
        <v>6</v>
      </c>
      <c r="I77">
        <f>COUNTIFS([1]Responses!$B$2:$B$4001,$A77,[1]Responses!$K$2:$K$4001,"High",[1]Responses!$I$2:$I$4001,"Correct")</f>
        <v>2</v>
      </c>
      <c r="J77">
        <f>COUNTIFS([1]Responses!$B$2:$B$4001,$A77,[1]Responses!$K$2:$K$4001,"High",[1]Responses!$I$2:$I$4001,"Wrong")</f>
        <v>3</v>
      </c>
      <c r="K77" s="2">
        <f>ROUND(SUMIFS([1]Responses!$J$2:$J$4001,[1]Responses!$B$2:$B$4001,$A77,[1]Responses!$K$2:$K$4001,"High"),2)</f>
        <v>9.73</v>
      </c>
      <c r="L77">
        <f>COUNTIFS([1]Responses!$B$2:$B$4001,$A77,[1]Responses!$K$2:$K$4001,"Medium",[1]Responses!$I$2:$I$4001,"Correct")</f>
        <v>4</v>
      </c>
      <c r="M77">
        <f>COUNTIFS([1]Responses!$B$2:$B$4001,$A77,[1]Responses!$K$2:$K$4001,"Medium",[1]Responses!$I$2:$I$4001,"Wrong")</f>
        <v>2</v>
      </c>
      <c r="N77" s="2">
        <f>ROUND(SUMIFS([1]Responses!$J$2:$J$4001,[1]Responses!$B$2:$B$4001,$A77,[1]Responses!$K$2:$K$4001,"Medium"),2)</f>
        <v>9.2100000000000009</v>
      </c>
      <c r="O77">
        <f>COUNTIFS([1]Responses!$B$2:$B$4001,$A77,[1]Responses!$K$2:$K$4001,"Low",[1]Responses!$I$2:$I$4001,"Correct")</f>
        <v>8</v>
      </c>
      <c r="P77">
        <f>COUNTIFS([1]Responses!$B$2:$B$4001,$A77,[1]Responses!$K$2:$K$4001,"Low",[1]Responses!$I$2:$I$4001,"Wrong")</f>
        <v>1</v>
      </c>
      <c r="Q77" s="2">
        <f>ROUND(SUMIFS([1]Responses!$J$2:$J$4001,[1]Responses!$B$2:$B$4001,$A77,[1]Responses!$K$2:$K$4001,"Low"),2)</f>
        <v>14.79</v>
      </c>
      <c r="R77" s="2">
        <f>ROUND(SUMIFS([1]Responses!$AB$2:$AB$4001,[1]Responses!$B$2:$B$4001,$A77),2)</f>
        <v>24.66</v>
      </c>
      <c r="S77" t="str">
        <f>IF(R77&gt;='[1]Reward Model'!$B$8,"Gold",IF(R77&gt;='[1]Reward Model'!$B$9,"Silver","Bronze"))</f>
        <v>Silver</v>
      </c>
      <c r="T77" s="2">
        <f>ROUND(R77/'[1]Reward Model'!$B$7*100,2)</f>
        <v>60.15</v>
      </c>
    </row>
    <row r="78" spans="1:20" x14ac:dyDescent="0.25">
      <c r="A78" t="s">
        <v>100</v>
      </c>
      <c r="B78" t="s">
        <v>21</v>
      </c>
      <c r="C78" t="s">
        <v>96</v>
      </c>
      <c r="D78">
        <f t="shared" si="4"/>
        <v>20</v>
      </c>
      <c r="E78" s="2">
        <f t="shared" si="5"/>
        <v>34.76</v>
      </c>
      <c r="F78">
        <f>COUNTIFS([1]Responses!$B$2:$B$4001,$A78)</f>
        <v>20</v>
      </c>
      <c r="G78">
        <f t="shared" si="6"/>
        <v>13</v>
      </c>
      <c r="H78">
        <f t="shared" si="6"/>
        <v>7</v>
      </c>
      <c r="I78">
        <f>COUNTIFS([1]Responses!$B$2:$B$4001,$A78,[1]Responses!$K$2:$K$4001,"High",[1]Responses!$I$2:$I$4001,"Correct")</f>
        <v>2</v>
      </c>
      <c r="J78">
        <f>COUNTIFS([1]Responses!$B$2:$B$4001,$A78,[1]Responses!$K$2:$K$4001,"High",[1]Responses!$I$2:$I$4001,"Wrong")</f>
        <v>3</v>
      </c>
      <c r="K78" s="2">
        <f>ROUND(SUMIFS([1]Responses!$J$2:$J$4001,[1]Responses!$B$2:$B$4001,$A78,[1]Responses!$K$2:$K$4001,"High"),2)</f>
        <v>8.35</v>
      </c>
      <c r="L78">
        <f>COUNTIFS([1]Responses!$B$2:$B$4001,$A78,[1]Responses!$K$2:$K$4001,"Medium",[1]Responses!$I$2:$I$4001,"Correct")</f>
        <v>5</v>
      </c>
      <c r="M78">
        <f>COUNTIFS([1]Responses!$B$2:$B$4001,$A78,[1]Responses!$K$2:$K$4001,"Medium",[1]Responses!$I$2:$I$4001,"Wrong")</f>
        <v>1</v>
      </c>
      <c r="N78" s="2">
        <f>ROUND(SUMIFS([1]Responses!$J$2:$J$4001,[1]Responses!$B$2:$B$4001,$A78,[1]Responses!$K$2:$K$4001,"Medium"),2)</f>
        <v>12.52</v>
      </c>
      <c r="O78">
        <f>COUNTIFS([1]Responses!$B$2:$B$4001,$A78,[1]Responses!$K$2:$K$4001,"Low",[1]Responses!$I$2:$I$4001,"Correct")</f>
        <v>6</v>
      </c>
      <c r="P78">
        <f>COUNTIFS([1]Responses!$B$2:$B$4001,$A78,[1]Responses!$K$2:$K$4001,"Low",[1]Responses!$I$2:$I$4001,"Wrong")</f>
        <v>3</v>
      </c>
      <c r="Q78" s="2">
        <f>ROUND(SUMIFS([1]Responses!$J$2:$J$4001,[1]Responses!$B$2:$B$4001,$A78,[1]Responses!$K$2:$K$4001,"Low"),2)</f>
        <v>13.89</v>
      </c>
      <c r="R78" s="2">
        <f>ROUND(SUMIFS([1]Responses!$AB$2:$AB$4001,[1]Responses!$B$2:$B$4001,$A78),2)</f>
        <v>23.18</v>
      </c>
      <c r="S78" t="str">
        <f>IF(R78&gt;='[1]Reward Model'!$B$8,"Gold",IF(R78&gt;='[1]Reward Model'!$B$9,"Silver","Bronze"))</f>
        <v>Silver</v>
      </c>
      <c r="T78" s="2">
        <f>ROUND(R78/'[1]Reward Model'!$B$7*100,2)</f>
        <v>56.54</v>
      </c>
    </row>
    <row r="79" spans="1:20" x14ac:dyDescent="0.25">
      <c r="A79" t="s">
        <v>101</v>
      </c>
      <c r="B79" t="s">
        <v>21</v>
      </c>
      <c r="C79" t="s">
        <v>96</v>
      </c>
      <c r="D79">
        <f t="shared" si="4"/>
        <v>20</v>
      </c>
      <c r="E79" s="2">
        <f t="shared" si="5"/>
        <v>33.24</v>
      </c>
      <c r="F79">
        <f>COUNTIFS([1]Responses!$B$2:$B$4001,$A79)</f>
        <v>20</v>
      </c>
      <c r="G79">
        <f t="shared" si="6"/>
        <v>12</v>
      </c>
      <c r="H79">
        <f t="shared" si="6"/>
        <v>8</v>
      </c>
      <c r="I79">
        <f>COUNTIFS([1]Responses!$B$2:$B$4001,$A79,[1]Responses!$K$2:$K$4001,"High",[1]Responses!$I$2:$I$4001,"Correct")</f>
        <v>1</v>
      </c>
      <c r="J79">
        <f>COUNTIFS([1]Responses!$B$2:$B$4001,$A79,[1]Responses!$K$2:$K$4001,"High",[1]Responses!$I$2:$I$4001,"Wrong")</f>
        <v>4</v>
      </c>
      <c r="K79" s="2">
        <f>ROUND(SUMIFS([1]Responses!$J$2:$J$4001,[1]Responses!$B$2:$B$4001,$A79,[1]Responses!$K$2:$K$4001,"High"),2)</f>
        <v>9.9499999999999993</v>
      </c>
      <c r="L79">
        <f>COUNTIFS([1]Responses!$B$2:$B$4001,$A79,[1]Responses!$K$2:$K$4001,"Medium",[1]Responses!$I$2:$I$4001,"Correct")</f>
        <v>4</v>
      </c>
      <c r="M79">
        <f>COUNTIFS([1]Responses!$B$2:$B$4001,$A79,[1]Responses!$K$2:$K$4001,"Medium",[1]Responses!$I$2:$I$4001,"Wrong")</f>
        <v>2</v>
      </c>
      <c r="N79" s="2">
        <f>ROUND(SUMIFS([1]Responses!$J$2:$J$4001,[1]Responses!$B$2:$B$4001,$A79,[1]Responses!$K$2:$K$4001,"Medium"),2)</f>
        <v>9.68</v>
      </c>
      <c r="O79">
        <f>COUNTIFS([1]Responses!$B$2:$B$4001,$A79,[1]Responses!$K$2:$K$4001,"Low",[1]Responses!$I$2:$I$4001,"Correct")</f>
        <v>7</v>
      </c>
      <c r="P79">
        <f>COUNTIFS([1]Responses!$B$2:$B$4001,$A79,[1]Responses!$K$2:$K$4001,"Low",[1]Responses!$I$2:$I$4001,"Wrong")</f>
        <v>2</v>
      </c>
      <c r="Q79" s="2">
        <f>ROUND(SUMIFS([1]Responses!$J$2:$J$4001,[1]Responses!$B$2:$B$4001,$A79,[1]Responses!$K$2:$K$4001,"Low"),2)</f>
        <v>13.61</v>
      </c>
      <c r="R79" s="2">
        <f>ROUND(SUMIFS([1]Responses!$AB$2:$AB$4001,[1]Responses!$B$2:$B$4001,$A79),2)</f>
        <v>21.13</v>
      </c>
      <c r="S79" t="str">
        <f>IF(R79&gt;='[1]Reward Model'!$B$8,"Gold",IF(R79&gt;='[1]Reward Model'!$B$9,"Silver","Bronze"))</f>
        <v>Silver</v>
      </c>
      <c r="T79" s="2">
        <f>ROUND(R79/'[1]Reward Model'!$B$7*100,2)</f>
        <v>51.54</v>
      </c>
    </row>
    <row r="80" spans="1:20" x14ac:dyDescent="0.25">
      <c r="A80" t="s">
        <v>102</v>
      </c>
      <c r="B80" t="s">
        <v>21</v>
      </c>
      <c r="C80" t="s">
        <v>96</v>
      </c>
      <c r="D80">
        <f t="shared" si="4"/>
        <v>20</v>
      </c>
      <c r="E80" s="2">
        <f t="shared" si="5"/>
        <v>34.03</v>
      </c>
      <c r="F80">
        <f>COUNTIFS([1]Responses!$B$2:$B$4001,$A80)</f>
        <v>20</v>
      </c>
      <c r="G80">
        <f t="shared" si="6"/>
        <v>14</v>
      </c>
      <c r="H80">
        <f t="shared" si="6"/>
        <v>6</v>
      </c>
      <c r="I80">
        <f>COUNTIFS([1]Responses!$B$2:$B$4001,$A80,[1]Responses!$K$2:$K$4001,"High",[1]Responses!$I$2:$I$4001,"Correct")</f>
        <v>2</v>
      </c>
      <c r="J80">
        <f>COUNTIFS([1]Responses!$B$2:$B$4001,$A80,[1]Responses!$K$2:$K$4001,"High",[1]Responses!$I$2:$I$4001,"Wrong")</f>
        <v>3</v>
      </c>
      <c r="K80" s="2">
        <f>ROUND(SUMIFS([1]Responses!$J$2:$J$4001,[1]Responses!$B$2:$B$4001,$A80,[1]Responses!$K$2:$K$4001,"High"),2)</f>
        <v>9.85</v>
      </c>
      <c r="L80">
        <f>COUNTIFS([1]Responses!$B$2:$B$4001,$A80,[1]Responses!$K$2:$K$4001,"Medium",[1]Responses!$I$2:$I$4001,"Correct")</f>
        <v>4</v>
      </c>
      <c r="M80">
        <f>COUNTIFS([1]Responses!$B$2:$B$4001,$A80,[1]Responses!$K$2:$K$4001,"Medium",[1]Responses!$I$2:$I$4001,"Wrong")</f>
        <v>2</v>
      </c>
      <c r="N80" s="2">
        <f>ROUND(SUMIFS([1]Responses!$J$2:$J$4001,[1]Responses!$B$2:$B$4001,$A80,[1]Responses!$K$2:$K$4001,"Medium"),2)</f>
        <v>11.46</v>
      </c>
      <c r="O80">
        <f>COUNTIFS([1]Responses!$B$2:$B$4001,$A80,[1]Responses!$K$2:$K$4001,"Low",[1]Responses!$I$2:$I$4001,"Correct")</f>
        <v>8</v>
      </c>
      <c r="P80">
        <f>COUNTIFS([1]Responses!$B$2:$B$4001,$A80,[1]Responses!$K$2:$K$4001,"Low",[1]Responses!$I$2:$I$4001,"Wrong")</f>
        <v>1</v>
      </c>
      <c r="Q80" s="2">
        <f>ROUND(SUMIFS([1]Responses!$J$2:$J$4001,[1]Responses!$B$2:$B$4001,$A80,[1]Responses!$K$2:$K$4001,"Low"),2)</f>
        <v>12.72</v>
      </c>
      <c r="R80" s="2">
        <f>ROUND(SUMIFS([1]Responses!$AB$2:$AB$4001,[1]Responses!$B$2:$B$4001,$A80),2)</f>
        <v>24.31</v>
      </c>
      <c r="S80" t="str">
        <f>IF(R80&gt;='[1]Reward Model'!$B$8,"Gold",IF(R80&gt;='[1]Reward Model'!$B$9,"Silver","Bronze"))</f>
        <v>Silver</v>
      </c>
      <c r="T80" s="2">
        <f>ROUND(R80/'[1]Reward Model'!$B$7*100,2)</f>
        <v>59.29</v>
      </c>
    </row>
    <row r="81" spans="1:20" x14ac:dyDescent="0.25">
      <c r="A81" t="s">
        <v>103</v>
      </c>
      <c r="B81" t="s">
        <v>21</v>
      </c>
      <c r="C81" t="s">
        <v>96</v>
      </c>
      <c r="D81">
        <f t="shared" si="4"/>
        <v>20</v>
      </c>
      <c r="E81" s="2">
        <f t="shared" si="5"/>
        <v>33.14</v>
      </c>
      <c r="F81">
        <f>COUNTIFS([1]Responses!$B$2:$B$4001,$A81)</f>
        <v>20</v>
      </c>
      <c r="G81">
        <f t="shared" si="6"/>
        <v>17</v>
      </c>
      <c r="H81">
        <f t="shared" si="6"/>
        <v>3</v>
      </c>
      <c r="I81">
        <f>COUNTIFS([1]Responses!$B$2:$B$4001,$A81,[1]Responses!$K$2:$K$4001,"High",[1]Responses!$I$2:$I$4001,"Correct")</f>
        <v>4</v>
      </c>
      <c r="J81">
        <f>COUNTIFS([1]Responses!$B$2:$B$4001,$A81,[1]Responses!$K$2:$K$4001,"High",[1]Responses!$I$2:$I$4001,"Wrong")</f>
        <v>1</v>
      </c>
      <c r="K81" s="2">
        <f>ROUND(SUMIFS([1]Responses!$J$2:$J$4001,[1]Responses!$B$2:$B$4001,$A81,[1]Responses!$K$2:$K$4001,"High"),2)</f>
        <v>9.7899999999999991</v>
      </c>
      <c r="L81">
        <f>COUNTIFS([1]Responses!$B$2:$B$4001,$A81,[1]Responses!$K$2:$K$4001,"Medium",[1]Responses!$I$2:$I$4001,"Correct")</f>
        <v>5</v>
      </c>
      <c r="M81">
        <f>COUNTIFS([1]Responses!$B$2:$B$4001,$A81,[1]Responses!$K$2:$K$4001,"Medium",[1]Responses!$I$2:$I$4001,"Wrong")</f>
        <v>1</v>
      </c>
      <c r="N81" s="2">
        <f>ROUND(SUMIFS([1]Responses!$J$2:$J$4001,[1]Responses!$B$2:$B$4001,$A81,[1]Responses!$K$2:$K$4001,"Medium"),2)</f>
        <v>10.29</v>
      </c>
      <c r="O81">
        <f>COUNTIFS([1]Responses!$B$2:$B$4001,$A81,[1]Responses!$K$2:$K$4001,"Low",[1]Responses!$I$2:$I$4001,"Correct")</f>
        <v>8</v>
      </c>
      <c r="P81">
        <f>COUNTIFS([1]Responses!$B$2:$B$4001,$A81,[1]Responses!$K$2:$K$4001,"Low",[1]Responses!$I$2:$I$4001,"Wrong")</f>
        <v>1</v>
      </c>
      <c r="Q81" s="2">
        <f>ROUND(SUMIFS([1]Responses!$J$2:$J$4001,[1]Responses!$B$2:$B$4001,$A81,[1]Responses!$K$2:$K$4001,"Low"),2)</f>
        <v>13.06</v>
      </c>
      <c r="R81" s="2">
        <f>ROUND(SUMIFS([1]Responses!$AB$2:$AB$4001,[1]Responses!$B$2:$B$4001,$A81),2)</f>
        <v>32.340000000000003</v>
      </c>
      <c r="S81" t="str">
        <f>IF(R81&gt;='[1]Reward Model'!$B$8,"Gold",IF(R81&gt;='[1]Reward Model'!$B$9,"Silver","Bronze"))</f>
        <v>Gold</v>
      </c>
      <c r="T81" s="2">
        <f>ROUND(R81/'[1]Reward Model'!$B$7*100,2)</f>
        <v>78.88</v>
      </c>
    </row>
    <row r="82" spans="1:20" x14ac:dyDescent="0.25">
      <c r="A82" t="s">
        <v>104</v>
      </c>
      <c r="B82" t="s">
        <v>21</v>
      </c>
      <c r="C82" t="s">
        <v>96</v>
      </c>
      <c r="D82">
        <f t="shared" si="4"/>
        <v>20</v>
      </c>
      <c r="E82" s="2">
        <f t="shared" si="5"/>
        <v>33.11</v>
      </c>
      <c r="F82">
        <f>COUNTIFS([1]Responses!$B$2:$B$4001,$A82)</f>
        <v>20</v>
      </c>
      <c r="G82">
        <f t="shared" si="6"/>
        <v>14</v>
      </c>
      <c r="H82">
        <f t="shared" si="6"/>
        <v>6</v>
      </c>
      <c r="I82">
        <f>COUNTIFS([1]Responses!$B$2:$B$4001,$A82,[1]Responses!$K$2:$K$4001,"High",[1]Responses!$I$2:$I$4001,"Correct")</f>
        <v>2</v>
      </c>
      <c r="J82">
        <f>COUNTIFS([1]Responses!$B$2:$B$4001,$A82,[1]Responses!$K$2:$K$4001,"High",[1]Responses!$I$2:$I$4001,"Wrong")</f>
        <v>3</v>
      </c>
      <c r="K82" s="2">
        <f>ROUND(SUMIFS([1]Responses!$J$2:$J$4001,[1]Responses!$B$2:$B$4001,$A82,[1]Responses!$K$2:$K$4001,"High"),2)</f>
        <v>8.92</v>
      </c>
      <c r="L82">
        <f>COUNTIFS([1]Responses!$B$2:$B$4001,$A82,[1]Responses!$K$2:$K$4001,"Medium",[1]Responses!$I$2:$I$4001,"Correct")</f>
        <v>4</v>
      </c>
      <c r="M82">
        <f>COUNTIFS([1]Responses!$B$2:$B$4001,$A82,[1]Responses!$K$2:$K$4001,"Medium",[1]Responses!$I$2:$I$4001,"Wrong")</f>
        <v>2</v>
      </c>
      <c r="N82" s="2">
        <f>ROUND(SUMIFS([1]Responses!$J$2:$J$4001,[1]Responses!$B$2:$B$4001,$A82,[1]Responses!$K$2:$K$4001,"Medium"),2)</f>
        <v>10.97</v>
      </c>
      <c r="O82">
        <f>COUNTIFS([1]Responses!$B$2:$B$4001,$A82,[1]Responses!$K$2:$K$4001,"Low",[1]Responses!$I$2:$I$4001,"Correct")</f>
        <v>8</v>
      </c>
      <c r="P82">
        <f>COUNTIFS([1]Responses!$B$2:$B$4001,$A82,[1]Responses!$K$2:$K$4001,"Low",[1]Responses!$I$2:$I$4001,"Wrong")</f>
        <v>1</v>
      </c>
      <c r="Q82" s="2">
        <f>ROUND(SUMIFS([1]Responses!$J$2:$J$4001,[1]Responses!$B$2:$B$4001,$A82,[1]Responses!$K$2:$K$4001,"Low"),2)</f>
        <v>13.22</v>
      </c>
      <c r="R82" s="2">
        <f>ROUND(SUMIFS([1]Responses!$AB$2:$AB$4001,[1]Responses!$B$2:$B$4001,$A82),2)</f>
        <v>24.35</v>
      </c>
      <c r="S82" t="str">
        <f>IF(R82&gt;='[1]Reward Model'!$B$8,"Gold",IF(R82&gt;='[1]Reward Model'!$B$9,"Silver","Bronze"))</f>
        <v>Silver</v>
      </c>
      <c r="T82" s="2">
        <f>ROUND(R82/'[1]Reward Model'!$B$7*100,2)</f>
        <v>59.39</v>
      </c>
    </row>
    <row r="83" spans="1:20" x14ac:dyDescent="0.25">
      <c r="A83" t="s">
        <v>105</v>
      </c>
      <c r="B83" t="s">
        <v>21</v>
      </c>
      <c r="C83" t="s">
        <v>96</v>
      </c>
      <c r="D83">
        <f t="shared" si="4"/>
        <v>20</v>
      </c>
      <c r="E83" s="2">
        <f t="shared" si="5"/>
        <v>33.85</v>
      </c>
      <c r="F83">
        <f>COUNTIFS([1]Responses!$B$2:$B$4001,$A83)</f>
        <v>20</v>
      </c>
      <c r="G83">
        <f t="shared" si="6"/>
        <v>11</v>
      </c>
      <c r="H83">
        <f t="shared" si="6"/>
        <v>9</v>
      </c>
      <c r="I83">
        <f>COUNTIFS([1]Responses!$B$2:$B$4001,$A83,[1]Responses!$K$2:$K$4001,"High",[1]Responses!$I$2:$I$4001,"Correct")</f>
        <v>1</v>
      </c>
      <c r="J83">
        <f>COUNTIFS([1]Responses!$B$2:$B$4001,$A83,[1]Responses!$K$2:$K$4001,"High",[1]Responses!$I$2:$I$4001,"Wrong")</f>
        <v>4</v>
      </c>
      <c r="K83" s="2">
        <f>ROUND(SUMIFS([1]Responses!$J$2:$J$4001,[1]Responses!$B$2:$B$4001,$A83,[1]Responses!$K$2:$K$4001,"High"),2)</f>
        <v>10.08</v>
      </c>
      <c r="L83">
        <f>COUNTIFS([1]Responses!$B$2:$B$4001,$A83,[1]Responses!$K$2:$K$4001,"Medium",[1]Responses!$I$2:$I$4001,"Correct")</f>
        <v>4</v>
      </c>
      <c r="M83">
        <f>COUNTIFS([1]Responses!$B$2:$B$4001,$A83,[1]Responses!$K$2:$K$4001,"Medium",[1]Responses!$I$2:$I$4001,"Wrong")</f>
        <v>2</v>
      </c>
      <c r="N83" s="2">
        <f>ROUND(SUMIFS([1]Responses!$J$2:$J$4001,[1]Responses!$B$2:$B$4001,$A83,[1]Responses!$K$2:$K$4001,"Medium"),2)</f>
        <v>10.65</v>
      </c>
      <c r="O83">
        <f>COUNTIFS([1]Responses!$B$2:$B$4001,$A83,[1]Responses!$K$2:$K$4001,"Low",[1]Responses!$I$2:$I$4001,"Correct")</f>
        <v>6</v>
      </c>
      <c r="P83">
        <f>COUNTIFS([1]Responses!$B$2:$B$4001,$A83,[1]Responses!$K$2:$K$4001,"Low",[1]Responses!$I$2:$I$4001,"Wrong")</f>
        <v>3</v>
      </c>
      <c r="Q83" s="2">
        <f>ROUND(SUMIFS([1]Responses!$J$2:$J$4001,[1]Responses!$B$2:$B$4001,$A83,[1]Responses!$K$2:$K$4001,"Low"),2)</f>
        <v>13.12</v>
      </c>
      <c r="R83" s="2">
        <f>ROUND(SUMIFS([1]Responses!$AB$2:$AB$4001,[1]Responses!$B$2:$B$4001,$A83),2)</f>
        <v>18.2</v>
      </c>
      <c r="S83" t="str">
        <f>IF(R83&gt;='[1]Reward Model'!$B$8,"Gold",IF(R83&gt;='[1]Reward Model'!$B$9,"Silver","Bronze"))</f>
        <v>Bronze</v>
      </c>
      <c r="T83" s="2">
        <f>ROUND(R83/'[1]Reward Model'!$B$7*100,2)</f>
        <v>44.39</v>
      </c>
    </row>
    <row r="84" spans="1:20" x14ac:dyDescent="0.25">
      <c r="A84" t="s">
        <v>106</v>
      </c>
      <c r="B84" t="s">
        <v>21</v>
      </c>
      <c r="C84" t="s">
        <v>96</v>
      </c>
      <c r="D84">
        <f t="shared" si="4"/>
        <v>20</v>
      </c>
      <c r="E84" s="2">
        <f t="shared" si="5"/>
        <v>34.229999999999997</v>
      </c>
      <c r="F84">
        <f>COUNTIFS([1]Responses!$B$2:$B$4001,$A84)</f>
        <v>20</v>
      </c>
      <c r="G84">
        <f t="shared" si="6"/>
        <v>13</v>
      </c>
      <c r="H84">
        <f t="shared" si="6"/>
        <v>7</v>
      </c>
      <c r="I84">
        <f>COUNTIFS([1]Responses!$B$2:$B$4001,$A84,[1]Responses!$K$2:$K$4001,"High",[1]Responses!$I$2:$I$4001,"Correct")</f>
        <v>1</v>
      </c>
      <c r="J84">
        <f>COUNTIFS([1]Responses!$B$2:$B$4001,$A84,[1]Responses!$K$2:$K$4001,"High",[1]Responses!$I$2:$I$4001,"Wrong")</f>
        <v>4</v>
      </c>
      <c r="K84" s="2">
        <f>ROUND(SUMIFS([1]Responses!$J$2:$J$4001,[1]Responses!$B$2:$B$4001,$A84,[1]Responses!$K$2:$K$4001,"High"),2)</f>
        <v>9.5500000000000007</v>
      </c>
      <c r="L84">
        <f>COUNTIFS([1]Responses!$B$2:$B$4001,$A84,[1]Responses!$K$2:$K$4001,"Medium",[1]Responses!$I$2:$I$4001,"Correct")</f>
        <v>4</v>
      </c>
      <c r="M84">
        <f>COUNTIFS([1]Responses!$B$2:$B$4001,$A84,[1]Responses!$K$2:$K$4001,"Medium",[1]Responses!$I$2:$I$4001,"Wrong")</f>
        <v>2</v>
      </c>
      <c r="N84" s="2">
        <f>ROUND(SUMIFS([1]Responses!$J$2:$J$4001,[1]Responses!$B$2:$B$4001,$A84,[1]Responses!$K$2:$K$4001,"Medium"),2)</f>
        <v>9.43</v>
      </c>
      <c r="O84">
        <f>COUNTIFS([1]Responses!$B$2:$B$4001,$A84,[1]Responses!$K$2:$K$4001,"Low",[1]Responses!$I$2:$I$4001,"Correct")</f>
        <v>8</v>
      </c>
      <c r="P84">
        <f>COUNTIFS([1]Responses!$B$2:$B$4001,$A84,[1]Responses!$K$2:$K$4001,"Low",[1]Responses!$I$2:$I$4001,"Wrong")</f>
        <v>1</v>
      </c>
      <c r="Q84" s="2">
        <f>ROUND(SUMIFS([1]Responses!$J$2:$J$4001,[1]Responses!$B$2:$B$4001,$A84,[1]Responses!$K$2:$K$4001,"Low"),2)</f>
        <v>15.25</v>
      </c>
      <c r="R84" s="2">
        <f>ROUND(SUMIFS([1]Responses!$AB$2:$AB$4001,[1]Responses!$B$2:$B$4001,$A84),2)</f>
        <v>21.84</v>
      </c>
      <c r="S84" t="str">
        <f>IF(R84&gt;='[1]Reward Model'!$B$8,"Gold",IF(R84&gt;='[1]Reward Model'!$B$9,"Silver","Bronze"))</f>
        <v>Silver</v>
      </c>
      <c r="T84" s="2">
        <f>ROUND(R84/'[1]Reward Model'!$B$7*100,2)</f>
        <v>53.27</v>
      </c>
    </row>
    <row r="85" spans="1:20" x14ac:dyDescent="0.25">
      <c r="A85" t="s">
        <v>107</v>
      </c>
      <c r="B85" t="s">
        <v>21</v>
      </c>
      <c r="C85" t="s">
        <v>96</v>
      </c>
      <c r="D85">
        <f t="shared" si="4"/>
        <v>20</v>
      </c>
      <c r="E85" s="2">
        <f t="shared" si="5"/>
        <v>33.49</v>
      </c>
      <c r="F85">
        <f>COUNTIFS([1]Responses!$B$2:$B$4001,$A85)</f>
        <v>20</v>
      </c>
      <c r="G85">
        <f t="shared" si="6"/>
        <v>12</v>
      </c>
      <c r="H85">
        <f t="shared" si="6"/>
        <v>8</v>
      </c>
      <c r="I85">
        <f>COUNTIFS([1]Responses!$B$2:$B$4001,$A85,[1]Responses!$K$2:$K$4001,"High",[1]Responses!$I$2:$I$4001,"Correct")</f>
        <v>1</v>
      </c>
      <c r="J85">
        <f>COUNTIFS([1]Responses!$B$2:$B$4001,$A85,[1]Responses!$K$2:$K$4001,"High",[1]Responses!$I$2:$I$4001,"Wrong")</f>
        <v>4</v>
      </c>
      <c r="K85" s="2">
        <f>ROUND(SUMIFS([1]Responses!$J$2:$J$4001,[1]Responses!$B$2:$B$4001,$A85,[1]Responses!$K$2:$K$4001,"High"),2)</f>
        <v>9.1999999999999993</v>
      </c>
      <c r="L85">
        <f>COUNTIFS([1]Responses!$B$2:$B$4001,$A85,[1]Responses!$K$2:$K$4001,"Medium",[1]Responses!$I$2:$I$4001,"Correct")</f>
        <v>4</v>
      </c>
      <c r="M85">
        <f>COUNTIFS([1]Responses!$B$2:$B$4001,$A85,[1]Responses!$K$2:$K$4001,"Medium",[1]Responses!$I$2:$I$4001,"Wrong")</f>
        <v>2</v>
      </c>
      <c r="N85" s="2">
        <f>ROUND(SUMIFS([1]Responses!$J$2:$J$4001,[1]Responses!$B$2:$B$4001,$A85,[1]Responses!$K$2:$K$4001,"Medium"),2)</f>
        <v>10.58</v>
      </c>
      <c r="O85">
        <f>COUNTIFS([1]Responses!$B$2:$B$4001,$A85,[1]Responses!$K$2:$K$4001,"Low",[1]Responses!$I$2:$I$4001,"Correct")</f>
        <v>7</v>
      </c>
      <c r="P85">
        <f>COUNTIFS([1]Responses!$B$2:$B$4001,$A85,[1]Responses!$K$2:$K$4001,"Low",[1]Responses!$I$2:$I$4001,"Wrong")</f>
        <v>2</v>
      </c>
      <c r="Q85" s="2">
        <f>ROUND(SUMIFS([1]Responses!$J$2:$J$4001,[1]Responses!$B$2:$B$4001,$A85,[1]Responses!$K$2:$K$4001,"Low"),2)</f>
        <v>13.71</v>
      </c>
      <c r="R85" s="2">
        <f>ROUND(SUMIFS([1]Responses!$AB$2:$AB$4001,[1]Responses!$B$2:$B$4001,$A85),2)</f>
        <v>19.12</v>
      </c>
      <c r="S85" t="str">
        <f>IF(R85&gt;='[1]Reward Model'!$B$8,"Gold",IF(R85&gt;='[1]Reward Model'!$B$9,"Silver","Bronze"))</f>
        <v>Bronze</v>
      </c>
      <c r="T85" s="2">
        <f>ROUND(R85/'[1]Reward Model'!$B$7*100,2)</f>
        <v>46.63</v>
      </c>
    </row>
    <row r="86" spans="1:20" x14ac:dyDescent="0.25">
      <c r="A86" t="s">
        <v>108</v>
      </c>
      <c r="B86" t="s">
        <v>21</v>
      </c>
      <c r="C86" t="s">
        <v>96</v>
      </c>
      <c r="D86">
        <f t="shared" si="4"/>
        <v>20</v>
      </c>
      <c r="E86" s="2">
        <f t="shared" si="5"/>
        <v>32.21</v>
      </c>
      <c r="F86">
        <f>COUNTIFS([1]Responses!$B$2:$B$4001,$A86)</f>
        <v>20</v>
      </c>
      <c r="G86">
        <f t="shared" si="6"/>
        <v>16</v>
      </c>
      <c r="H86">
        <f t="shared" si="6"/>
        <v>4</v>
      </c>
      <c r="I86">
        <f>COUNTIFS([1]Responses!$B$2:$B$4001,$A86,[1]Responses!$K$2:$K$4001,"High",[1]Responses!$I$2:$I$4001,"Correct")</f>
        <v>3</v>
      </c>
      <c r="J86">
        <f>COUNTIFS([1]Responses!$B$2:$B$4001,$A86,[1]Responses!$K$2:$K$4001,"High",[1]Responses!$I$2:$I$4001,"Wrong")</f>
        <v>2</v>
      </c>
      <c r="K86" s="2">
        <f>ROUND(SUMIFS([1]Responses!$J$2:$J$4001,[1]Responses!$B$2:$B$4001,$A86,[1]Responses!$K$2:$K$4001,"High"),2)</f>
        <v>9.48</v>
      </c>
      <c r="L86">
        <f>COUNTIFS([1]Responses!$B$2:$B$4001,$A86,[1]Responses!$K$2:$K$4001,"Medium",[1]Responses!$I$2:$I$4001,"Correct")</f>
        <v>5</v>
      </c>
      <c r="M86">
        <f>COUNTIFS([1]Responses!$B$2:$B$4001,$A86,[1]Responses!$K$2:$K$4001,"Medium",[1]Responses!$I$2:$I$4001,"Wrong")</f>
        <v>1</v>
      </c>
      <c r="N86" s="2">
        <f>ROUND(SUMIFS([1]Responses!$J$2:$J$4001,[1]Responses!$B$2:$B$4001,$A86,[1]Responses!$K$2:$K$4001,"Medium"),2)</f>
        <v>9.01</v>
      </c>
      <c r="O86">
        <f>COUNTIFS([1]Responses!$B$2:$B$4001,$A86,[1]Responses!$K$2:$K$4001,"Low",[1]Responses!$I$2:$I$4001,"Correct")</f>
        <v>8</v>
      </c>
      <c r="P86">
        <f>COUNTIFS([1]Responses!$B$2:$B$4001,$A86,[1]Responses!$K$2:$K$4001,"Low",[1]Responses!$I$2:$I$4001,"Wrong")</f>
        <v>1</v>
      </c>
      <c r="Q86" s="2">
        <f>ROUND(SUMIFS([1]Responses!$J$2:$J$4001,[1]Responses!$B$2:$B$4001,$A86,[1]Responses!$K$2:$K$4001,"Low"),2)</f>
        <v>13.72</v>
      </c>
      <c r="R86" s="2">
        <f>ROUND(SUMIFS([1]Responses!$AB$2:$AB$4001,[1]Responses!$B$2:$B$4001,$A86),2)</f>
        <v>29.99</v>
      </c>
      <c r="S86" t="str">
        <f>IF(R86&gt;='[1]Reward Model'!$B$8,"Gold",IF(R86&gt;='[1]Reward Model'!$B$9,"Silver","Bronze"))</f>
        <v>Gold</v>
      </c>
      <c r="T86" s="2">
        <f>ROUND(R86/'[1]Reward Model'!$B$7*100,2)</f>
        <v>73.150000000000006</v>
      </c>
    </row>
    <row r="87" spans="1:20" x14ac:dyDescent="0.25">
      <c r="A87" t="s">
        <v>109</v>
      </c>
      <c r="B87" t="s">
        <v>21</v>
      </c>
      <c r="C87" t="s">
        <v>96</v>
      </c>
      <c r="D87">
        <f t="shared" si="4"/>
        <v>20</v>
      </c>
      <c r="E87" s="2">
        <f t="shared" si="5"/>
        <v>30.04</v>
      </c>
      <c r="F87">
        <f>COUNTIFS([1]Responses!$B$2:$B$4001,$A87)</f>
        <v>20</v>
      </c>
      <c r="G87">
        <f t="shared" si="6"/>
        <v>15</v>
      </c>
      <c r="H87">
        <f t="shared" si="6"/>
        <v>5</v>
      </c>
      <c r="I87">
        <f>COUNTIFS([1]Responses!$B$2:$B$4001,$A87,[1]Responses!$K$2:$K$4001,"High",[1]Responses!$I$2:$I$4001,"Correct")</f>
        <v>2</v>
      </c>
      <c r="J87">
        <f>COUNTIFS([1]Responses!$B$2:$B$4001,$A87,[1]Responses!$K$2:$K$4001,"High",[1]Responses!$I$2:$I$4001,"Wrong")</f>
        <v>3</v>
      </c>
      <c r="K87" s="2">
        <f>ROUND(SUMIFS([1]Responses!$J$2:$J$4001,[1]Responses!$B$2:$B$4001,$A87,[1]Responses!$K$2:$K$4001,"High"),2)</f>
        <v>9.0299999999999994</v>
      </c>
      <c r="L87">
        <f>COUNTIFS([1]Responses!$B$2:$B$4001,$A87,[1]Responses!$K$2:$K$4001,"Medium",[1]Responses!$I$2:$I$4001,"Correct")</f>
        <v>5</v>
      </c>
      <c r="M87">
        <f>COUNTIFS([1]Responses!$B$2:$B$4001,$A87,[1]Responses!$K$2:$K$4001,"Medium",[1]Responses!$I$2:$I$4001,"Wrong")</f>
        <v>1</v>
      </c>
      <c r="N87" s="2">
        <f>ROUND(SUMIFS([1]Responses!$J$2:$J$4001,[1]Responses!$B$2:$B$4001,$A87,[1]Responses!$K$2:$K$4001,"Medium"),2)</f>
        <v>10.02</v>
      </c>
      <c r="O87">
        <f>COUNTIFS([1]Responses!$B$2:$B$4001,$A87,[1]Responses!$K$2:$K$4001,"Low",[1]Responses!$I$2:$I$4001,"Correct")</f>
        <v>8</v>
      </c>
      <c r="P87">
        <f>COUNTIFS([1]Responses!$B$2:$B$4001,$A87,[1]Responses!$K$2:$K$4001,"Low",[1]Responses!$I$2:$I$4001,"Wrong")</f>
        <v>1</v>
      </c>
      <c r="Q87" s="2">
        <f>ROUND(SUMIFS([1]Responses!$J$2:$J$4001,[1]Responses!$B$2:$B$4001,$A87,[1]Responses!$K$2:$K$4001,"Low"),2)</f>
        <v>10.99</v>
      </c>
      <c r="R87" s="2">
        <f>ROUND(SUMIFS([1]Responses!$AB$2:$AB$4001,[1]Responses!$B$2:$B$4001,$A87),2)</f>
        <v>26.95</v>
      </c>
      <c r="S87" t="str">
        <f>IF(R87&gt;='[1]Reward Model'!$B$8,"Gold",IF(R87&gt;='[1]Reward Model'!$B$9,"Silver","Bronze"))</f>
        <v>Silver</v>
      </c>
      <c r="T87" s="2">
        <f>ROUND(R87/'[1]Reward Model'!$B$7*100,2)</f>
        <v>65.73</v>
      </c>
    </row>
    <row r="88" spans="1:20" x14ac:dyDescent="0.25">
      <c r="A88" t="s">
        <v>110</v>
      </c>
      <c r="B88" t="s">
        <v>21</v>
      </c>
      <c r="C88" t="s">
        <v>96</v>
      </c>
      <c r="D88">
        <f t="shared" si="4"/>
        <v>20</v>
      </c>
      <c r="E88" s="2">
        <f t="shared" si="5"/>
        <v>33.81</v>
      </c>
      <c r="F88">
        <f>COUNTIFS([1]Responses!$B$2:$B$4001,$A88)</f>
        <v>20</v>
      </c>
      <c r="G88">
        <f t="shared" si="6"/>
        <v>15</v>
      </c>
      <c r="H88">
        <f t="shared" si="6"/>
        <v>5</v>
      </c>
      <c r="I88">
        <f>COUNTIFS([1]Responses!$B$2:$B$4001,$A88,[1]Responses!$K$2:$K$4001,"High",[1]Responses!$I$2:$I$4001,"Correct")</f>
        <v>2</v>
      </c>
      <c r="J88">
        <f>COUNTIFS([1]Responses!$B$2:$B$4001,$A88,[1]Responses!$K$2:$K$4001,"High",[1]Responses!$I$2:$I$4001,"Wrong")</f>
        <v>3</v>
      </c>
      <c r="K88" s="2">
        <f>ROUND(SUMIFS([1]Responses!$J$2:$J$4001,[1]Responses!$B$2:$B$4001,$A88,[1]Responses!$K$2:$K$4001,"High"),2)</f>
        <v>10.81</v>
      </c>
      <c r="L88">
        <f>COUNTIFS([1]Responses!$B$2:$B$4001,$A88,[1]Responses!$K$2:$K$4001,"Medium",[1]Responses!$I$2:$I$4001,"Correct")</f>
        <v>5</v>
      </c>
      <c r="M88">
        <f>COUNTIFS([1]Responses!$B$2:$B$4001,$A88,[1]Responses!$K$2:$K$4001,"Medium",[1]Responses!$I$2:$I$4001,"Wrong")</f>
        <v>1</v>
      </c>
      <c r="N88" s="2">
        <f>ROUND(SUMIFS([1]Responses!$J$2:$J$4001,[1]Responses!$B$2:$B$4001,$A88,[1]Responses!$K$2:$K$4001,"Medium"),2)</f>
        <v>8.99</v>
      </c>
      <c r="O88">
        <f>COUNTIFS([1]Responses!$B$2:$B$4001,$A88,[1]Responses!$K$2:$K$4001,"Low",[1]Responses!$I$2:$I$4001,"Correct")</f>
        <v>8</v>
      </c>
      <c r="P88">
        <f>COUNTIFS([1]Responses!$B$2:$B$4001,$A88,[1]Responses!$K$2:$K$4001,"Low",[1]Responses!$I$2:$I$4001,"Wrong")</f>
        <v>1</v>
      </c>
      <c r="Q88" s="2">
        <f>ROUND(SUMIFS([1]Responses!$J$2:$J$4001,[1]Responses!$B$2:$B$4001,$A88,[1]Responses!$K$2:$K$4001,"Low"),2)</f>
        <v>14.01</v>
      </c>
      <c r="R88" s="2">
        <f>ROUND(SUMIFS([1]Responses!$AB$2:$AB$4001,[1]Responses!$B$2:$B$4001,$A88),2)</f>
        <v>25.63</v>
      </c>
      <c r="S88" t="str">
        <f>IF(R88&gt;='[1]Reward Model'!$B$8,"Gold",IF(R88&gt;='[1]Reward Model'!$B$9,"Silver","Bronze"))</f>
        <v>Silver</v>
      </c>
      <c r="T88" s="2">
        <f>ROUND(R88/'[1]Reward Model'!$B$7*100,2)</f>
        <v>62.51</v>
      </c>
    </row>
    <row r="89" spans="1:20" x14ac:dyDescent="0.25">
      <c r="A89" t="s">
        <v>111</v>
      </c>
      <c r="B89" t="s">
        <v>21</v>
      </c>
      <c r="C89" t="s">
        <v>96</v>
      </c>
      <c r="D89">
        <f t="shared" si="4"/>
        <v>20</v>
      </c>
      <c r="E89" s="2">
        <f t="shared" si="5"/>
        <v>29.48</v>
      </c>
      <c r="F89">
        <f>COUNTIFS([1]Responses!$B$2:$B$4001,$A89)</f>
        <v>20</v>
      </c>
      <c r="G89">
        <f t="shared" si="6"/>
        <v>15</v>
      </c>
      <c r="H89">
        <f t="shared" si="6"/>
        <v>5</v>
      </c>
      <c r="I89">
        <f>COUNTIFS([1]Responses!$B$2:$B$4001,$A89,[1]Responses!$K$2:$K$4001,"High",[1]Responses!$I$2:$I$4001,"Correct")</f>
        <v>2</v>
      </c>
      <c r="J89">
        <f>COUNTIFS([1]Responses!$B$2:$B$4001,$A89,[1]Responses!$K$2:$K$4001,"High",[1]Responses!$I$2:$I$4001,"Wrong")</f>
        <v>3</v>
      </c>
      <c r="K89" s="2">
        <f>ROUND(SUMIFS([1]Responses!$J$2:$J$4001,[1]Responses!$B$2:$B$4001,$A89,[1]Responses!$K$2:$K$4001,"High"),2)</f>
        <v>7.74</v>
      </c>
      <c r="L89">
        <f>COUNTIFS([1]Responses!$B$2:$B$4001,$A89,[1]Responses!$K$2:$K$4001,"Medium",[1]Responses!$I$2:$I$4001,"Correct")</f>
        <v>5</v>
      </c>
      <c r="M89">
        <f>COUNTIFS([1]Responses!$B$2:$B$4001,$A89,[1]Responses!$K$2:$K$4001,"Medium",[1]Responses!$I$2:$I$4001,"Wrong")</f>
        <v>1</v>
      </c>
      <c r="N89" s="2">
        <f>ROUND(SUMIFS([1]Responses!$J$2:$J$4001,[1]Responses!$B$2:$B$4001,$A89,[1]Responses!$K$2:$K$4001,"Medium"),2)</f>
        <v>9.41</v>
      </c>
      <c r="O89">
        <f>COUNTIFS([1]Responses!$B$2:$B$4001,$A89,[1]Responses!$K$2:$K$4001,"Low",[1]Responses!$I$2:$I$4001,"Correct")</f>
        <v>8</v>
      </c>
      <c r="P89">
        <f>COUNTIFS([1]Responses!$B$2:$B$4001,$A89,[1]Responses!$K$2:$K$4001,"Low",[1]Responses!$I$2:$I$4001,"Wrong")</f>
        <v>1</v>
      </c>
      <c r="Q89" s="2">
        <f>ROUND(SUMIFS([1]Responses!$J$2:$J$4001,[1]Responses!$B$2:$B$4001,$A89,[1]Responses!$K$2:$K$4001,"Low"),2)</f>
        <v>12.33</v>
      </c>
      <c r="R89" s="2">
        <f>ROUND(SUMIFS([1]Responses!$AB$2:$AB$4001,[1]Responses!$B$2:$B$4001,$A89),2)</f>
        <v>27.98</v>
      </c>
      <c r="S89" t="str">
        <f>IF(R89&gt;='[1]Reward Model'!$B$8,"Gold",IF(R89&gt;='[1]Reward Model'!$B$9,"Silver","Bronze"))</f>
        <v>Silver</v>
      </c>
      <c r="T89" s="2">
        <f>ROUND(R89/'[1]Reward Model'!$B$7*100,2)</f>
        <v>68.239999999999995</v>
      </c>
    </row>
    <row r="90" spans="1:20" x14ac:dyDescent="0.25">
      <c r="A90" t="s">
        <v>112</v>
      </c>
      <c r="B90" t="s">
        <v>21</v>
      </c>
      <c r="C90" t="s">
        <v>96</v>
      </c>
      <c r="D90">
        <f t="shared" si="4"/>
        <v>20</v>
      </c>
      <c r="E90" s="2">
        <f t="shared" si="5"/>
        <v>32.61</v>
      </c>
      <c r="F90">
        <f>COUNTIFS([1]Responses!$B$2:$B$4001,$A90)</f>
        <v>20</v>
      </c>
      <c r="G90">
        <f t="shared" si="6"/>
        <v>14</v>
      </c>
      <c r="H90">
        <f t="shared" si="6"/>
        <v>6</v>
      </c>
      <c r="I90">
        <f>COUNTIFS([1]Responses!$B$2:$B$4001,$A90,[1]Responses!$K$2:$K$4001,"High",[1]Responses!$I$2:$I$4001,"Correct")</f>
        <v>2</v>
      </c>
      <c r="J90">
        <f>COUNTIFS([1]Responses!$B$2:$B$4001,$A90,[1]Responses!$K$2:$K$4001,"High",[1]Responses!$I$2:$I$4001,"Wrong")</f>
        <v>3</v>
      </c>
      <c r="K90" s="2">
        <f>ROUND(SUMIFS([1]Responses!$J$2:$J$4001,[1]Responses!$B$2:$B$4001,$A90,[1]Responses!$K$2:$K$4001,"High"),2)</f>
        <v>9.2100000000000009</v>
      </c>
      <c r="L90">
        <f>COUNTIFS([1]Responses!$B$2:$B$4001,$A90,[1]Responses!$K$2:$K$4001,"Medium",[1]Responses!$I$2:$I$4001,"Correct")</f>
        <v>5</v>
      </c>
      <c r="M90">
        <f>COUNTIFS([1]Responses!$B$2:$B$4001,$A90,[1]Responses!$K$2:$K$4001,"Medium",[1]Responses!$I$2:$I$4001,"Wrong")</f>
        <v>1</v>
      </c>
      <c r="N90" s="2">
        <f>ROUND(SUMIFS([1]Responses!$J$2:$J$4001,[1]Responses!$B$2:$B$4001,$A90,[1]Responses!$K$2:$K$4001,"Medium"),2)</f>
        <v>9.34</v>
      </c>
      <c r="O90">
        <f>COUNTIFS([1]Responses!$B$2:$B$4001,$A90,[1]Responses!$K$2:$K$4001,"Low",[1]Responses!$I$2:$I$4001,"Correct")</f>
        <v>7</v>
      </c>
      <c r="P90">
        <f>COUNTIFS([1]Responses!$B$2:$B$4001,$A90,[1]Responses!$K$2:$K$4001,"Low",[1]Responses!$I$2:$I$4001,"Wrong")</f>
        <v>2</v>
      </c>
      <c r="Q90" s="2">
        <f>ROUND(SUMIFS([1]Responses!$J$2:$J$4001,[1]Responses!$B$2:$B$4001,$A90,[1]Responses!$K$2:$K$4001,"Low"),2)</f>
        <v>14.06</v>
      </c>
      <c r="R90" s="2">
        <f>ROUND(SUMIFS([1]Responses!$AB$2:$AB$4001,[1]Responses!$B$2:$B$4001,$A90),2)</f>
        <v>25.23</v>
      </c>
      <c r="S90" t="str">
        <f>IF(R90&gt;='[1]Reward Model'!$B$8,"Gold",IF(R90&gt;='[1]Reward Model'!$B$9,"Silver","Bronze"))</f>
        <v>Silver</v>
      </c>
      <c r="T90" s="2">
        <f>ROUND(R90/'[1]Reward Model'!$B$7*100,2)</f>
        <v>61.54</v>
      </c>
    </row>
    <row r="91" spans="1:20" x14ac:dyDescent="0.25">
      <c r="A91" t="s">
        <v>113</v>
      </c>
      <c r="B91" t="s">
        <v>21</v>
      </c>
      <c r="C91" t="s">
        <v>96</v>
      </c>
      <c r="D91">
        <f t="shared" si="4"/>
        <v>20</v>
      </c>
      <c r="E91" s="2">
        <f t="shared" si="5"/>
        <v>29.95</v>
      </c>
      <c r="F91">
        <f>COUNTIFS([1]Responses!$B$2:$B$4001,$A91)</f>
        <v>20</v>
      </c>
      <c r="G91">
        <f t="shared" si="6"/>
        <v>13</v>
      </c>
      <c r="H91">
        <f t="shared" si="6"/>
        <v>7</v>
      </c>
      <c r="I91">
        <f>COUNTIFS([1]Responses!$B$2:$B$4001,$A91,[1]Responses!$K$2:$K$4001,"High",[1]Responses!$I$2:$I$4001,"Correct")</f>
        <v>1</v>
      </c>
      <c r="J91">
        <f>COUNTIFS([1]Responses!$B$2:$B$4001,$A91,[1]Responses!$K$2:$K$4001,"High",[1]Responses!$I$2:$I$4001,"Wrong")</f>
        <v>4</v>
      </c>
      <c r="K91" s="2">
        <f>ROUND(SUMIFS([1]Responses!$J$2:$J$4001,[1]Responses!$B$2:$B$4001,$A91,[1]Responses!$K$2:$K$4001,"High"),2)</f>
        <v>9.08</v>
      </c>
      <c r="L91">
        <f>COUNTIFS([1]Responses!$B$2:$B$4001,$A91,[1]Responses!$K$2:$K$4001,"Medium",[1]Responses!$I$2:$I$4001,"Correct")</f>
        <v>4</v>
      </c>
      <c r="M91">
        <f>COUNTIFS([1]Responses!$B$2:$B$4001,$A91,[1]Responses!$K$2:$K$4001,"Medium",[1]Responses!$I$2:$I$4001,"Wrong")</f>
        <v>2</v>
      </c>
      <c r="N91" s="2">
        <f>ROUND(SUMIFS([1]Responses!$J$2:$J$4001,[1]Responses!$B$2:$B$4001,$A91,[1]Responses!$K$2:$K$4001,"Medium"),2)</f>
        <v>8.24</v>
      </c>
      <c r="O91">
        <f>COUNTIFS([1]Responses!$B$2:$B$4001,$A91,[1]Responses!$K$2:$K$4001,"Low",[1]Responses!$I$2:$I$4001,"Correct")</f>
        <v>8</v>
      </c>
      <c r="P91">
        <f>COUNTIFS([1]Responses!$B$2:$B$4001,$A91,[1]Responses!$K$2:$K$4001,"Low",[1]Responses!$I$2:$I$4001,"Wrong")</f>
        <v>1</v>
      </c>
      <c r="Q91" s="2">
        <f>ROUND(SUMIFS([1]Responses!$J$2:$J$4001,[1]Responses!$B$2:$B$4001,$A91,[1]Responses!$K$2:$K$4001,"Low"),2)</f>
        <v>12.63</v>
      </c>
      <c r="R91" s="2">
        <f>ROUND(SUMIFS([1]Responses!$AB$2:$AB$4001,[1]Responses!$B$2:$B$4001,$A91),2)</f>
        <v>23.31</v>
      </c>
      <c r="S91" t="str">
        <f>IF(R91&gt;='[1]Reward Model'!$B$8,"Gold",IF(R91&gt;='[1]Reward Model'!$B$9,"Silver","Bronze"))</f>
        <v>Silver</v>
      </c>
      <c r="T91" s="2">
        <f>ROUND(R91/'[1]Reward Model'!$B$7*100,2)</f>
        <v>56.85</v>
      </c>
    </row>
    <row r="92" spans="1:20" x14ac:dyDescent="0.25">
      <c r="A92" t="s">
        <v>114</v>
      </c>
      <c r="B92" t="s">
        <v>21</v>
      </c>
      <c r="C92" t="s">
        <v>96</v>
      </c>
      <c r="D92">
        <f t="shared" si="4"/>
        <v>20</v>
      </c>
      <c r="E92" s="2">
        <f t="shared" si="5"/>
        <v>32.520000000000003</v>
      </c>
      <c r="F92">
        <f>COUNTIFS([1]Responses!$B$2:$B$4001,$A92)</f>
        <v>20</v>
      </c>
      <c r="G92">
        <f t="shared" si="6"/>
        <v>15</v>
      </c>
      <c r="H92">
        <f t="shared" si="6"/>
        <v>5</v>
      </c>
      <c r="I92">
        <f>COUNTIFS([1]Responses!$B$2:$B$4001,$A92,[1]Responses!$K$2:$K$4001,"High",[1]Responses!$I$2:$I$4001,"Correct")</f>
        <v>4</v>
      </c>
      <c r="J92">
        <f>COUNTIFS([1]Responses!$B$2:$B$4001,$A92,[1]Responses!$K$2:$K$4001,"High",[1]Responses!$I$2:$I$4001,"Wrong")</f>
        <v>1</v>
      </c>
      <c r="K92" s="2">
        <f>ROUND(SUMIFS([1]Responses!$J$2:$J$4001,[1]Responses!$B$2:$B$4001,$A92,[1]Responses!$K$2:$K$4001,"High"),2)</f>
        <v>9.24</v>
      </c>
      <c r="L92">
        <f>COUNTIFS([1]Responses!$B$2:$B$4001,$A92,[1]Responses!$K$2:$K$4001,"Medium",[1]Responses!$I$2:$I$4001,"Correct")</f>
        <v>3</v>
      </c>
      <c r="M92">
        <f>COUNTIFS([1]Responses!$B$2:$B$4001,$A92,[1]Responses!$K$2:$K$4001,"Medium",[1]Responses!$I$2:$I$4001,"Wrong")</f>
        <v>3</v>
      </c>
      <c r="N92" s="2">
        <f>ROUND(SUMIFS([1]Responses!$J$2:$J$4001,[1]Responses!$B$2:$B$4001,$A92,[1]Responses!$K$2:$K$4001,"Medium"),2)</f>
        <v>11.28</v>
      </c>
      <c r="O92">
        <f>COUNTIFS([1]Responses!$B$2:$B$4001,$A92,[1]Responses!$K$2:$K$4001,"Low",[1]Responses!$I$2:$I$4001,"Correct")</f>
        <v>8</v>
      </c>
      <c r="P92">
        <f>COUNTIFS([1]Responses!$B$2:$B$4001,$A92,[1]Responses!$K$2:$K$4001,"Low",[1]Responses!$I$2:$I$4001,"Wrong")</f>
        <v>1</v>
      </c>
      <c r="Q92" s="2">
        <f>ROUND(SUMIFS([1]Responses!$J$2:$J$4001,[1]Responses!$B$2:$B$4001,$A92,[1]Responses!$K$2:$K$4001,"Low"),2)</f>
        <v>12</v>
      </c>
      <c r="R92" s="2">
        <f>ROUND(SUMIFS([1]Responses!$AB$2:$AB$4001,[1]Responses!$B$2:$B$4001,$A92),2)</f>
        <v>28.19</v>
      </c>
      <c r="S92" t="str">
        <f>IF(R92&gt;='[1]Reward Model'!$B$8,"Gold",IF(R92&gt;='[1]Reward Model'!$B$9,"Silver","Bronze"))</f>
        <v>Silver</v>
      </c>
      <c r="T92" s="2">
        <f>ROUND(R92/'[1]Reward Model'!$B$7*100,2)</f>
        <v>68.760000000000005</v>
      </c>
    </row>
    <row r="93" spans="1:20" x14ac:dyDescent="0.25">
      <c r="A93" t="s">
        <v>115</v>
      </c>
      <c r="B93" t="s">
        <v>21</v>
      </c>
      <c r="C93" t="s">
        <v>96</v>
      </c>
      <c r="D93">
        <f t="shared" si="4"/>
        <v>20</v>
      </c>
      <c r="E93" s="2">
        <f t="shared" si="5"/>
        <v>30.7</v>
      </c>
      <c r="F93">
        <f>COUNTIFS([1]Responses!$B$2:$B$4001,$A93)</f>
        <v>20</v>
      </c>
      <c r="G93">
        <f t="shared" si="6"/>
        <v>12</v>
      </c>
      <c r="H93">
        <f t="shared" si="6"/>
        <v>8</v>
      </c>
      <c r="I93">
        <f>COUNTIFS([1]Responses!$B$2:$B$4001,$A93,[1]Responses!$K$2:$K$4001,"High",[1]Responses!$I$2:$I$4001,"Correct")</f>
        <v>1</v>
      </c>
      <c r="J93">
        <f>COUNTIFS([1]Responses!$B$2:$B$4001,$A93,[1]Responses!$K$2:$K$4001,"High",[1]Responses!$I$2:$I$4001,"Wrong")</f>
        <v>4</v>
      </c>
      <c r="K93" s="2">
        <f>ROUND(SUMIFS([1]Responses!$J$2:$J$4001,[1]Responses!$B$2:$B$4001,$A93,[1]Responses!$K$2:$K$4001,"High"),2)</f>
        <v>7.78</v>
      </c>
      <c r="L93">
        <f>COUNTIFS([1]Responses!$B$2:$B$4001,$A93,[1]Responses!$K$2:$K$4001,"Medium",[1]Responses!$I$2:$I$4001,"Correct")</f>
        <v>3</v>
      </c>
      <c r="M93">
        <f>COUNTIFS([1]Responses!$B$2:$B$4001,$A93,[1]Responses!$K$2:$K$4001,"Medium",[1]Responses!$I$2:$I$4001,"Wrong")</f>
        <v>3</v>
      </c>
      <c r="N93" s="2">
        <f>ROUND(SUMIFS([1]Responses!$J$2:$J$4001,[1]Responses!$B$2:$B$4001,$A93,[1]Responses!$K$2:$K$4001,"Medium"),2)</f>
        <v>7.89</v>
      </c>
      <c r="O93">
        <f>COUNTIFS([1]Responses!$B$2:$B$4001,$A93,[1]Responses!$K$2:$K$4001,"Low",[1]Responses!$I$2:$I$4001,"Correct")</f>
        <v>8</v>
      </c>
      <c r="P93">
        <f>COUNTIFS([1]Responses!$B$2:$B$4001,$A93,[1]Responses!$K$2:$K$4001,"Low",[1]Responses!$I$2:$I$4001,"Wrong")</f>
        <v>1</v>
      </c>
      <c r="Q93" s="2">
        <f>ROUND(SUMIFS([1]Responses!$J$2:$J$4001,[1]Responses!$B$2:$B$4001,$A93,[1]Responses!$K$2:$K$4001,"Low"),2)</f>
        <v>15.03</v>
      </c>
      <c r="R93" s="2">
        <f>ROUND(SUMIFS([1]Responses!$AB$2:$AB$4001,[1]Responses!$B$2:$B$4001,$A93),2)</f>
        <v>19.760000000000002</v>
      </c>
      <c r="S93" t="str">
        <f>IF(R93&gt;='[1]Reward Model'!$B$8,"Gold",IF(R93&gt;='[1]Reward Model'!$B$9,"Silver","Bronze"))</f>
        <v>Bronze</v>
      </c>
      <c r="T93" s="2">
        <f>ROUND(R93/'[1]Reward Model'!$B$7*100,2)</f>
        <v>48.2</v>
      </c>
    </row>
    <row r="94" spans="1:20" x14ac:dyDescent="0.25">
      <c r="A94" t="s">
        <v>116</v>
      </c>
      <c r="B94" t="s">
        <v>21</v>
      </c>
      <c r="C94" t="s">
        <v>96</v>
      </c>
      <c r="D94">
        <f t="shared" si="4"/>
        <v>20</v>
      </c>
      <c r="E94" s="2">
        <f t="shared" si="5"/>
        <v>34.25</v>
      </c>
      <c r="F94">
        <f>COUNTIFS([1]Responses!$B$2:$B$4001,$A94)</f>
        <v>20</v>
      </c>
      <c r="G94">
        <f t="shared" si="6"/>
        <v>8</v>
      </c>
      <c r="H94">
        <f t="shared" si="6"/>
        <v>12</v>
      </c>
      <c r="I94">
        <f>COUNTIFS([1]Responses!$B$2:$B$4001,$A94,[1]Responses!$K$2:$K$4001,"High",[1]Responses!$I$2:$I$4001,"Correct")</f>
        <v>1</v>
      </c>
      <c r="J94">
        <f>COUNTIFS([1]Responses!$B$2:$B$4001,$A94,[1]Responses!$K$2:$K$4001,"High",[1]Responses!$I$2:$I$4001,"Wrong")</f>
        <v>4</v>
      </c>
      <c r="K94" s="2">
        <f>ROUND(SUMIFS([1]Responses!$J$2:$J$4001,[1]Responses!$B$2:$B$4001,$A94,[1]Responses!$K$2:$K$4001,"High"),2)</f>
        <v>9.25</v>
      </c>
      <c r="L94">
        <f>COUNTIFS([1]Responses!$B$2:$B$4001,$A94,[1]Responses!$K$2:$K$4001,"Medium",[1]Responses!$I$2:$I$4001,"Correct")</f>
        <v>2</v>
      </c>
      <c r="M94">
        <f>COUNTIFS([1]Responses!$B$2:$B$4001,$A94,[1]Responses!$K$2:$K$4001,"Medium",[1]Responses!$I$2:$I$4001,"Wrong")</f>
        <v>4</v>
      </c>
      <c r="N94" s="2">
        <f>ROUND(SUMIFS([1]Responses!$J$2:$J$4001,[1]Responses!$B$2:$B$4001,$A94,[1]Responses!$K$2:$K$4001,"Medium"),2)</f>
        <v>10.83</v>
      </c>
      <c r="O94">
        <f>COUNTIFS([1]Responses!$B$2:$B$4001,$A94,[1]Responses!$K$2:$K$4001,"Low",[1]Responses!$I$2:$I$4001,"Correct")</f>
        <v>5</v>
      </c>
      <c r="P94">
        <f>COUNTIFS([1]Responses!$B$2:$B$4001,$A94,[1]Responses!$K$2:$K$4001,"Low",[1]Responses!$I$2:$I$4001,"Wrong")</f>
        <v>4</v>
      </c>
      <c r="Q94" s="2">
        <f>ROUND(SUMIFS([1]Responses!$J$2:$J$4001,[1]Responses!$B$2:$B$4001,$A94,[1]Responses!$K$2:$K$4001,"Low"),2)</f>
        <v>14.17</v>
      </c>
      <c r="R94" s="2">
        <f>ROUND(SUMIFS([1]Responses!$AB$2:$AB$4001,[1]Responses!$B$2:$B$4001,$A94),2)</f>
        <v>15.13</v>
      </c>
      <c r="S94" t="str">
        <f>IF(R94&gt;='[1]Reward Model'!$B$8,"Gold",IF(R94&gt;='[1]Reward Model'!$B$9,"Silver","Bronze"))</f>
        <v>Bronze</v>
      </c>
      <c r="T94" s="2">
        <f>ROUND(R94/'[1]Reward Model'!$B$7*100,2)</f>
        <v>36.9</v>
      </c>
    </row>
    <row r="95" spans="1:20" x14ac:dyDescent="0.25">
      <c r="A95" t="s">
        <v>117</v>
      </c>
      <c r="B95" t="s">
        <v>21</v>
      </c>
      <c r="C95" t="s">
        <v>96</v>
      </c>
      <c r="D95">
        <f t="shared" si="4"/>
        <v>20</v>
      </c>
      <c r="E95" s="2">
        <f t="shared" si="5"/>
        <v>33.82</v>
      </c>
      <c r="F95">
        <f>COUNTIFS([1]Responses!$B$2:$B$4001,$A95)</f>
        <v>20</v>
      </c>
      <c r="G95">
        <f t="shared" si="6"/>
        <v>12</v>
      </c>
      <c r="H95">
        <f t="shared" si="6"/>
        <v>8</v>
      </c>
      <c r="I95">
        <f>COUNTIFS([1]Responses!$B$2:$B$4001,$A95,[1]Responses!$K$2:$K$4001,"High",[1]Responses!$I$2:$I$4001,"Correct")</f>
        <v>2</v>
      </c>
      <c r="J95">
        <f>COUNTIFS([1]Responses!$B$2:$B$4001,$A95,[1]Responses!$K$2:$K$4001,"High",[1]Responses!$I$2:$I$4001,"Wrong")</f>
        <v>3</v>
      </c>
      <c r="K95" s="2">
        <f>ROUND(SUMIFS([1]Responses!$J$2:$J$4001,[1]Responses!$B$2:$B$4001,$A95,[1]Responses!$K$2:$K$4001,"High"),2)</f>
        <v>10.74</v>
      </c>
      <c r="L95">
        <f>COUNTIFS([1]Responses!$B$2:$B$4001,$A95,[1]Responses!$K$2:$K$4001,"Medium",[1]Responses!$I$2:$I$4001,"Correct")</f>
        <v>4</v>
      </c>
      <c r="M95">
        <f>COUNTIFS([1]Responses!$B$2:$B$4001,$A95,[1]Responses!$K$2:$K$4001,"Medium",[1]Responses!$I$2:$I$4001,"Wrong")</f>
        <v>2</v>
      </c>
      <c r="N95" s="2">
        <f>ROUND(SUMIFS([1]Responses!$J$2:$J$4001,[1]Responses!$B$2:$B$4001,$A95,[1]Responses!$K$2:$K$4001,"Medium"),2)</f>
        <v>8.91</v>
      </c>
      <c r="O95">
        <f>COUNTIFS([1]Responses!$B$2:$B$4001,$A95,[1]Responses!$K$2:$K$4001,"Low",[1]Responses!$I$2:$I$4001,"Correct")</f>
        <v>6</v>
      </c>
      <c r="P95">
        <f>COUNTIFS([1]Responses!$B$2:$B$4001,$A95,[1]Responses!$K$2:$K$4001,"Low",[1]Responses!$I$2:$I$4001,"Wrong")</f>
        <v>3</v>
      </c>
      <c r="Q95" s="2">
        <f>ROUND(SUMIFS([1]Responses!$J$2:$J$4001,[1]Responses!$B$2:$B$4001,$A95,[1]Responses!$K$2:$K$4001,"Low"),2)</f>
        <v>14.17</v>
      </c>
      <c r="R95" s="2">
        <f>ROUND(SUMIFS([1]Responses!$AB$2:$AB$4001,[1]Responses!$B$2:$B$4001,$A95),2)</f>
        <v>22.23</v>
      </c>
      <c r="S95" t="str">
        <f>IF(R95&gt;='[1]Reward Model'!$B$8,"Gold",IF(R95&gt;='[1]Reward Model'!$B$9,"Silver","Bronze"))</f>
        <v>Silver</v>
      </c>
      <c r="T95" s="2">
        <f>ROUND(R95/'[1]Reward Model'!$B$7*100,2)</f>
        <v>54.22</v>
      </c>
    </row>
    <row r="96" spans="1:20" x14ac:dyDescent="0.25">
      <c r="A96" t="s">
        <v>118</v>
      </c>
      <c r="B96" t="s">
        <v>21</v>
      </c>
      <c r="C96" t="s">
        <v>96</v>
      </c>
      <c r="D96">
        <f t="shared" si="4"/>
        <v>20</v>
      </c>
      <c r="E96" s="2">
        <f t="shared" si="5"/>
        <v>31.85</v>
      </c>
      <c r="F96">
        <f>COUNTIFS([1]Responses!$B$2:$B$4001,$A96)</f>
        <v>20</v>
      </c>
      <c r="G96">
        <f t="shared" si="6"/>
        <v>9</v>
      </c>
      <c r="H96">
        <f t="shared" si="6"/>
        <v>11</v>
      </c>
      <c r="I96">
        <f>COUNTIFS([1]Responses!$B$2:$B$4001,$A96,[1]Responses!$K$2:$K$4001,"High",[1]Responses!$I$2:$I$4001,"Correct")</f>
        <v>2</v>
      </c>
      <c r="J96">
        <f>COUNTIFS([1]Responses!$B$2:$B$4001,$A96,[1]Responses!$K$2:$K$4001,"High",[1]Responses!$I$2:$I$4001,"Wrong")</f>
        <v>3</v>
      </c>
      <c r="K96" s="2">
        <f>ROUND(SUMIFS([1]Responses!$J$2:$J$4001,[1]Responses!$B$2:$B$4001,$A96,[1]Responses!$K$2:$K$4001,"High"),2)</f>
        <v>9.2100000000000009</v>
      </c>
      <c r="L96">
        <f>COUNTIFS([1]Responses!$B$2:$B$4001,$A96,[1]Responses!$K$2:$K$4001,"Medium",[1]Responses!$I$2:$I$4001,"Correct")</f>
        <v>3</v>
      </c>
      <c r="M96">
        <f>COUNTIFS([1]Responses!$B$2:$B$4001,$A96,[1]Responses!$K$2:$K$4001,"Medium",[1]Responses!$I$2:$I$4001,"Wrong")</f>
        <v>3</v>
      </c>
      <c r="N96" s="2">
        <f>ROUND(SUMIFS([1]Responses!$J$2:$J$4001,[1]Responses!$B$2:$B$4001,$A96,[1]Responses!$K$2:$K$4001,"Medium"),2)</f>
        <v>10.08</v>
      </c>
      <c r="O96">
        <f>COUNTIFS([1]Responses!$B$2:$B$4001,$A96,[1]Responses!$K$2:$K$4001,"Low",[1]Responses!$I$2:$I$4001,"Correct")</f>
        <v>4</v>
      </c>
      <c r="P96">
        <f>COUNTIFS([1]Responses!$B$2:$B$4001,$A96,[1]Responses!$K$2:$K$4001,"Low",[1]Responses!$I$2:$I$4001,"Wrong")</f>
        <v>5</v>
      </c>
      <c r="Q96" s="2">
        <f>ROUND(SUMIFS([1]Responses!$J$2:$J$4001,[1]Responses!$B$2:$B$4001,$A96,[1]Responses!$K$2:$K$4001,"Low"),2)</f>
        <v>12.56</v>
      </c>
      <c r="R96" s="2">
        <f>ROUND(SUMIFS([1]Responses!$AB$2:$AB$4001,[1]Responses!$B$2:$B$4001,$A96),2)</f>
        <v>17.78</v>
      </c>
      <c r="S96" t="str">
        <f>IF(R96&gt;='[1]Reward Model'!$B$8,"Gold",IF(R96&gt;='[1]Reward Model'!$B$9,"Silver","Bronze"))</f>
        <v>Bronze</v>
      </c>
      <c r="T96" s="2">
        <f>ROUND(R96/'[1]Reward Model'!$B$7*100,2)</f>
        <v>43.37</v>
      </c>
    </row>
    <row r="97" spans="1:20" x14ac:dyDescent="0.25">
      <c r="A97" t="s">
        <v>119</v>
      </c>
      <c r="B97" t="s">
        <v>120</v>
      </c>
      <c r="C97" t="s">
        <v>22</v>
      </c>
      <c r="D97">
        <f t="shared" si="4"/>
        <v>20</v>
      </c>
      <c r="E97" s="2">
        <f t="shared" si="5"/>
        <v>31.66</v>
      </c>
      <c r="F97">
        <f>COUNTIFS([1]Responses!$B$2:$B$4001,$A97)</f>
        <v>20</v>
      </c>
      <c r="G97">
        <f t="shared" si="6"/>
        <v>10</v>
      </c>
      <c r="H97">
        <f t="shared" si="6"/>
        <v>10</v>
      </c>
      <c r="I97">
        <f>COUNTIFS([1]Responses!$B$2:$B$4001,$A97,[1]Responses!$K$2:$K$4001,"High",[1]Responses!$I$2:$I$4001,"Correct")</f>
        <v>1</v>
      </c>
      <c r="J97">
        <f>COUNTIFS([1]Responses!$B$2:$B$4001,$A97,[1]Responses!$K$2:$K$4001,"High",[1]Responses!$I$2:$I$4001,"Wrong")</f>
        <v>4</v>
      </c>
      <c r="K97" s="2">
        <f>ROUND(SUMIFS([1]Responses!$J$2:$J$4001,[1]Responses!$B$2:$B$4001,$A97,[1]Responses!$K$2:$K$4001,"High"),2)</f>
        <v>9.01</v>
      </c>
      <c r="L97">
        <f>COUNTIFS([1]Responses!$B$2:$B$4001,$A97,[1]Responses!$K$2:$K$4001,"Medium",[1]Responses!$I$2:$I$4001,"Correct")</f>
        <v>4</v>
      </c>
      <c r="M97">
        <f>COUNTIFS([1]Responses!$B$2:$B$4001,$A97,[1]Responses!$K$2:$K$4001,"Medium",[1]Responses!$I$2:$I$4001,"Wrong")</f>
        <v>2</v>
      </c>
      <c r="N97" s="2">
        <f>ROUND(SUMIFS([1]Responses!$J$2:$J$4001,[1]Responses!$B$2:$B$4001,$A97,[1]Responses!$K$2:$K$4001,"Medium"),2)</f>
        <v>9.1199999999999992</v>
      </c>
      <c r="O97">
        <f>COUNTIFS([1]Responses!$B$2:$B$4001,$A97,[1]Responses!$K$2:$K$4001,"Low",[1]Responses!$I$2:$I$4001,"Correct")</f>
        <v>5</v>
      </c>
      <c r="P97">
        <f>COUNTIFS([1]Responses!$B$2:$B$4001,$A97,[1]Responses!$K$2:$K$4001,"Low",[1]Responses!$I$2:$I$4001,"Wrong")</f>
        <v>4</v>
      </c>
      <c r="Q97" s="2">
        <f>ROUND(SUMIFS([1]Responses!$J$2:$J$4001,[1]Responses!$B$2:$B$4001,$A97,[1]Responses!$K$2:$K$4001,"Low"),2)</f>
        <v>13.53</v>
      </c>
      <c r="R97" s="2">
        <f>ROUND(SUMIFS([1]Responses!$AB$2:$AB$4001,[1]Responses!$B$2:$B$4001,$A97),2)</f>
        <v>18.18</v>
      </c>
      <c r="S97" t="str">
        <f>IF(R97&gt;='[1]Reward Model'!$B$8,"Gold",IF(R97&gt;='[1]Reward Model'!$B$9,"Silver","Bronze"))</f>
        <v>Bronze</v>
      </c>
      <c r="T97" s="2">
        <f>ROUND(R97/'[1]Reward Model'!$B$7*100,2)</f>
        <v>44.34</v>
      </c>
    </row>
    <row r="98" spans="1:20" x14ac:dyDescent="0.25">
      <c r="A98" t="s">
        <v>121</v>
      </c>
      <c r="B98" t="s">
        <v>120</v>
      </c>
      <c r="C98" t="s">
        <v>22</v>
      </c>
      <c r="D98">
        <f t="shared" si="4"/>
        <v>20</v>
      </c>
      <c r="E98" s="2">
        <f t="shared" si="5"/>
        <v>32.380000000000003</v>
      </c>
      <c r="F98">
        <f>COUNTIFS([1]Responses!$B$2:$B$4001,$A98)</f>
        <v>20</v>
      </c>
      <c r="G98">
        <f t="shared" ref="G98:H129" si="7">I98+L98+O98</f>
        <v>15</v>
      </c>
      <c r="H98">
        <f t="shared" si="7"/>
        <v>5</v>
      </c>
      <c r="I98">
        <f>COUNTIFS([1]Responses!$B$2:$B$4001,$A98,[1]Responses!$K$2:$K$4001,"High",[1]Responses!$I$2:$I$4001,"Correct")</f>
        <v>2</v>
      </c>
      <c r="J98">
        <f>COUNTIFS([1]Responses!$B$2:$B$4001,$A98,[1]Responses!$K$2:$K$4001,"High",[1]Responses!$I$2:$I$4001,"Wrong")</f>
        <v>3</v>
      </c>
      <c r="K98" s="2">
        <f>ROUND(SUMIFS([1]Responses!$J$2:$J$4001,[1]Responses!$B$2:$B$4001,$A98,[1]Responses!$K$2:$K$4001,"High"),2)</f>
        <v>9.5500000000000007</v>
      </c>
      <c r="L98">
        <f>COUNTIFS([1]Responses!$B$2:$B$4001,$A98,[1]Responses!$K$2:$K$4001,"Medium",[1]Responses!$I$2:$I$4001,"Correct")</f>
        <v>5</v>
      </c>
      <c r="M98">
        <f>COUNTIFS([1]Responses!$B$2:$B$4001,$A98,[1]Responses!$K$2:$K$4001,"Medium",[1]Responses!$I$2:$I$4001,"Wrong")</f>
        <v>1</v>
      </c>
      <c r="N98" s="2">
        <f>ROUND(SUMIFS([1]Responses!$J$2:$J$4001,[1]Responses!$B$2:$B$4001,$A98,[1]Responses!$K$2:$K$4001,"Medium"),2)</f>
        <v>10.220000000000001</v>
      </c>
      <c r="O98">
        <f>COUNTIFS([1]Responses!$B$2:$B$4001,$A98,[1]Responses!$K$2:$K$4001,"Low",[1]Responses!$I$2:$I$4001,"Correct")</f>
        <v>8</v>
      </c>
      <c r="P98">
        <f>COUNTIFS([1]Responses!$B$2:$B$4001,$A98,[1]Responses!$K$2:$K$4001,"Low",[1]Responses!$I$2:$I$4001,"Wrong")</f>
        <v>1</v>
      </c>
      <c r="Q98" s="2">
        <f>ROUND(SUMIFS([1]Responses!$J$2:$J$4001,[1]Responses!$B$2:$B$4001,$A98,[1]Responses!$K$2:$K$4001,"Low"),2)</f>
        <v>12.61</v>
      </c>
      <c r="R98" s="2">
        <f>ROUND(SUMIFS([1]Responses!$AB$2:$AB$4001,[1]Responses!$B$2:$B$4001,$A98),2)</f>
        <v>26.74</v>
      </c>
      <c r="S98" t="str">
        <f>IF(R98&gt;='[1]Reward Model'!$B$8,"Gold",IF(R98&gt;='[1]Reward Model'!$B$9,"Silver","Bronze"))</f>
        <v>Silver</v>
      </c>
      <c r="T98" s="2">
        <f>ROUND(R98/'[1]Reward Model'!$B$7*100,2)</f>
        <v>65.22</v>
      </c>
    </row>
    <row r="99" spans="1:20" x14ac:dyDescent="0.25">
      <c r="A99" t="s">
        <v>122</v>
      </c>
      <c r="B99" t="s">
        <v>120</v>
      </c>
      <c r="C99" t="s">
        <v>22</v>
      </c>
      <c r="D99">
        <f t="shared" si="4"/>
        <v>20</v>
      </c>
      <c r="E99" s="2">
        <f t="shared" si="5"/>
        <v>31.33</v>
      </c>
      <c r="F99">
        <f>COUNTIFS([1]Responses!$B$2:$B$4001,$A99)</f>
        <v>20</v>
      </c>
      <c r="G99">
        <f t="shared" si="7"/>
        <v>14</v>
      </c>
      <c r="H99">
        <f t="shared" si="7"/>
        <v>6</v>
      </c>
      <c r="I99">
        <f>COUNTIFS([1]Responses!$B$2:$B$4001,$A99,[1]Responses!$K$2:$K$4001,"High",[1]Responses!$I$2:$I$4001,"Correct")</f>
        <v>2</v>
      </c>
      <c r="J99">
        <f>COUNTIFS([1]Responses!$B$2:$B$4001,$A99,[1]Responses!$K$2:$K$4001,"High",[1]Responses!$I$2:$I$4001,"Wrong")</f>
        <v>3</v>
      </c>
      <c r="K99" s="2">
        <f>ROUND(SUMIFS([1]Responses!$J$2:$J$4001,[1]Responses!$B$2:$B$4001,$A99,[1]Responses!$K$2:$K$4001,"High"),2)</f>
        <v>8.3000000000000007</v>
      </c>
      <c r="L99">
        <f>COUNTIFS([1]Responses!$B$2:$B$4001,$A99,[1]Responses!$K$2:$K$4001,"Medium",[1]Responses!$I$2:$I$4001,"Correct")</f>
        <v>4</v>
      </c>
      <c r="M99">
        <f>COUNTIFS([1]Responses!$B$2:$B$4001,$A99,[1]Responses!$K$2:$K$4001,"Medium",[1]Responses!$I$2:$I$4001,"Wrong")</f>
        <v>2</v>
      </c>
      <c r="N99" s="2">
        <f>ROUND(SUMIFS([1]Responses!$J$2:$J$4001,[1]Responses!$B$2:$B$4001,$A99,[1]Responses!$K$2:$K$4001,"Medium"),2)</f>
        <v>9.8000000000000007</v>
      </c>
      <c r="O99">
        <f>COUNTIFS([1]Responses!$B$2:$B$4001,$A99,[1]Responses!$K$2:$K$4001,"Low",[1]Responses!$I$2:$I$4001,"Correct")</f>
        <v>8</v>
      </c>
      <c r="P99">
        <f>COUNTIFS([1]Responses!$B$2:$B$4001,$A99,[1]Responses!$K$2:$K$4001,"Low",[1]Responses!$I$2:$I$4001,"Wrong")</f>
        <v>1</v>
      </c>
      <c r="Q99" s="2">
        <f>ROUND(SUMIFS([1]Responses!$J$2:$J$4001,[1]Responses!$B$2:$B$4001,$A99,[1]Responses!$K$2:$K$4001,"Low"),2)</f>
        <v>13.23</v>
      </c>
      <c r="R99" s="2">
        <f>ROUND(SUMIFS([1]Responses!$AB$2:$AB$4001,[1]Responses!$B$2:$B$4001,$A99),2)</f>
        <v>24.87</v>
      </c>
      <c r="S99" t="str">
        <f>IF(R99&gt;='[1]Reward Model'!$B$8,"Gold",IF(R99&gt;='[1]Reward Model'!$B$9,"Silver","Bronze"))</f>
        <v>Silver</v>
      </c>
      <c r="T99" s="2">
        <f>ROUND(R99/'[1]Reward Model'!$B$7*100,2)</f>
        <v>60.66</v>
      </c>
    </row>
    <row r="100" spans="1:20" x14ac:dyDescent="0.25">
      <c r="A100" t="s">
        <v>123</v>
      </c>
      <c r="B100" t="s">
        <v>120</v>
      </c>
      <c r="C100" t="s">
        <v>22</v>
      </c>
      <c r="D100">
        <f t="shared" si="4"/>
        <v>20</v>
      </c>
      <c r="E100" s="2">
        <f t="shared" si="5"/>
        <v>32.229999999999997</v>
      </c>
      <c r="F100">
        <f>COUNTIFS([1]Responses!$B$2:$B$4001,$A100)</f>
        <v>20</v>
      </c>
      <c r="G100">
        <f t="shared" si="7"/>
        <v>16</v>
      </c>
      <c r="H100">
        <f t="shared" si="7"/>
        <v>4</v>
      </c>
      <c r="I100">
        <f>COUNTIFS([1]Responses!$B$2:$B$4001,$A100,[1]Responses!$K$2:$K$4001,"High",[1]Responses!$I$2:$I$4001,"Correct")</f>
        <v>3</v>
      </c>
      <c r="J100">
        <f>COUNTIFS([1]Responses!$B$2:$B$4001,$A100,[1]Responses!$K$2:$K$4001,"High",[1]Responses!$I$2:$I$4001,"Wrong")</f>
        <v>2</v>
      </c>
      <c r="K100" s="2">
        <f>ROUND(SUMIFS([1]Responses!$J$2:$J$4001,[1]Responses!$B$2:$B$4001,$A100,[1]Responses!$K$2:$K$4001,"High"),2)</f>
        <v>8.59</v>
      </c>
      <c r="L100">
        <f>COUNTIFS([1]Responses!$B$2:$B$4001,$A100,[1]Responses!$K$2:$K$4001,"Medium",[1]Responses!$I$2:$I$4001,"Correct")</f>
        <v>5</v>
      </c>
      <c r="M100">
        <f>COUNTIFS([1]Responses!$B$2:$B$4001,$A100,[1]Responses!$K$2:$K$4001,"Medium",[1]Responses!$I$2:$I$4001,"Wrong")</f>
        <v>1</v>
      </c>
      <c r="N100" s="2">
        <f>ROUND(SUMIFS([1]Responses!$J$2:$J$4001,[1]Responses!$B$2:$B$4001,$A100,[1]Responses!$K$2:$K$4001,"Medium"),2)</f>
        <v>10.37</v>
      </c>
      <c r="O100">
        <f>COUNTIFS([1]Responses!$B$2:$B$4001,$A100,[1]Responses!$K$2:$K$4001,"Low",[1]Responses!$I$2:$I$4001,"Correct")</f>
        <v>8</v>
      </c>
      <c r="P100">
        <f>COUNTIFS([1]Responses!$B$2:$B$4001,$A100,[1]Responses!$K$2:$K$4001,"Low",[1]Responses!$I$2:$I$4001,"Wrong")</f>
        <v>1</v>
      </c>
      <c r="Q100" s="2">
        <f>ROUND(SUMIFS([1]Responses!$J$2:$J$4001,[1]Responses!$B$2:$B$4001,$A100,[1]Responses!$K$2:$K$4001,"Low"),2)</f>
        <v>13.27</v>
      </c>
      <c r="R100" s="2">
        <f>ROUND(SUMIFS([1]Responses!$AB$2:$AB$4001,[1]Responses!$B$2:$B$4001,$A100),2)</f>
        <v>30.49</v>
      </c>
      <c r="S100" t="str">
        <f>IF(R100&gt;='[1]Reward Model'!$B$8,"Gold",IF(R100&gt;='[1]Reward Model'!$B$9,"Silver","Bronze"))</f>
        <v>Gold</v>
      </c>
      <c r="T100" s="2">
        <f>ROUND(R100/'[1]Reward Model'!$B$7*100,2)</f>
        <v>74.37</v>
      </c>
    </row>
    <row r="101" spans="1:20" x14ac:dyDescent="0.25">
      <c r="A101" t="s">
        <v>124</v>
      </c>
      <c r="B101" t="s">
        <v>120</v>
      </c>
      <c r="C101" t="s">
        <v>22</v>
      </c>
      <c r="D101">
        <f t="shared" si="4"/>
        <v>20</v>
      </c>
      <c r="E101" s="2">
        <f t="shared" si="5"/>
        <v>32.04</v>
      </c>
      <c r="F101">
        <f>COUNTIFS([1]Responses!$B$2:$B$4001,$A101)</f>
        <v>20</v>
      </c>
      <c r="G101">
        <f t="shared" si="7"/>
        <v>11</v>
      </c>
      <c r="H101">
        <f t="shared" si="7"/>
        <v>9</v>
      </c>
      <c r="I101">
        <f>COUNTIFS([1]Responses!$B$2:$B$4001,$A101,[1]Responses!$K$2:$K$4001,"High",[1]Responses!$I$2:$I$4001,"Correct")</f>
        <v>1</v>
      </c>
      <c r="J101">
        <f>COUNTIFS([1]Responses!$B$2:$B$4001,$A101,[1]Responses!$K$2:$K$4001,"High",[1]Responses!$I$2:$I$4001,"Wrong")</f>
        <v>4</v>
      </c>
      <c r="K101" s="2">
        <f>ROUND(SUMIFS([1]Responses!$J$2:$J$4001,[1]Responses!$B$2:$B$4001,$A101,[1]Responses!$K$2:$K$4001,"High"),2)</f>
        <v>8.5</v>
      </c>
      <c r="L101">
        <f>COUNTIFS([1]Responses!$B$2:$B$4001,$A101,[1]Responses!$K$2:$K$4001,"Medium",[1]Responses!$I$2:$I$4001,"Correct")</f>
        <v>2</v>
      </c>
      <c r="M101">
        <f>COUNTIFS([1]Responses!$B$2:$B$4001,$A101,[1]Responses!$K$2:$K$4001,"Medium",[1]Responses!$I$2:$I$4001,"Wrong")</f>
        <v>4</v>
      </c>
      <c r="N101" s="2">
        <f>ROUND(SUMIFS([1]Responses!$J$2:$J$4001,[1]Responses!$B$2:$B$4001,$A101,[1]Responses!$K$2:$K$4001,"Medium"),2)</f>
        <v>10.15</v>
      </c>
      <c r="O101">
        <f>COUNTIFS([1]Responses!$B$2:$B$4001,$A101,[1]Responses!$K$2:$K$4001,"Low",[1]Responses!$I$2:$I$4001,"Correct")</f>
        <v>8</v>
      </c>
      <c r="P101">
        <f>COUNTIFS([1]Responses!$B$2:$B$4001,$A101,[1]Responses!$K$2:$K$4001,"Low",[1]Responses!$I$2:$I$4001,"Wrong")</f>
        <v>1</v>
      </c>
      <c r="Q101" s="2">
        <f>ROUND(SUMIFS([1]Responses!$J$2:$J$4001,[1]Responses!$B$2:$B$4001,$A101,[1]Responses!$K$2:$K$4001,"Low"),2)</f>
        <v>13.39</v>
      </c>
      <c r="R101" s="2">
        <f>ROUND(SUMIFS([1]Responses!$AB$2:$AB$4001,[1]Responses!$B$2:$B$4001,$A101),2)</f>
        <v>18.07</v>
      </c>
      <c r="S101" t="str">
        <f>IF(R101&gt;='[1]Reward Model'!$B$8,"Gold",IF(R101&gt;='[1]Reward Model'!$B$9,"Silver","Bronze"))</f>
        <v>Bronze</v>
      </c>
      <c r="T101" s="2">
        <f>ROUND(R101/'[1]Reward Model'!$B$7*100,2)</f>
        <v>44.07</v>
      </c>
    </row>
    <row r="102" spans="1:20" x14ac:dyDescent="0.25">
      <c r="A102" t="s">
        <v>125</v>
      </c>
      <c r="B102" t="s">
        <v>120</v>
      </c>
      <c r="C102" t="s">
        <v>22</v>
      </c>
      <c r="D102">
        <f t="shared" si="4"/>
        <v>20</v>
      </c>
      <c r="E102" s="2">
        <f t="shared" si="5"/>
        <v>33.24</v>
      </c>
      <c r="F102">
        <f>COUNTIFS([1]Responses!$B$2:$B$4001,$A102)</f>
        <v>20</v>
      </c>
      <c r="G102">
        <f t="shared" si="7"/>
        <v>16</v>
      </c>
      <c r="H102">
        <f t="shared" si="7"/>
        <v>4</v>
      </c>
      <c r="I102">
        <f>COUNTIFS([1]Responses!$B$2:$B$4001,$A102,[1]Responses!$K$2:$K$4001,"High",[1]Responses!$I$2:$I$4001,"Correct")</f>
        <v>4</v>
      </c>
      <c r="J102">
        <f>COUNTIFS([1]Responses!$B$2:$B$4001,$A102,[1]Responses!$K$2:$K$4001,"High",[1]Responses!$I$2:$I$4001,"Wrong")</f>
        <v>1</v>
      </c>
      <c r="K102" s="2">
        <f>ROUND(SUMIFS([1]Responses!$J$2:$J$4001,[1]Responses!$B$2:$B$4001,$A102,[1]Responses!$K$2:$K$4001,"High"),2)</f>
        <v>9.8699999999999992</v>
      </c>
      <c r="L102">
        <f>COUNTIFS([1]Responses!$B$2:$B$4001,$A102,[1]Responses!$K$2:$K$4001,"Medium",[1]Responses!$I$2:$I$4001,"Correct")</f>
        <v>4</v>
      </c>
      <c r="M102">
        <f>COUNTIFS([1]Responses!$B$2:$B$4001,$A102,[1]Responses!$K$2:$K$4001,"Medium",[1]Responses!$I$2:$I$4001,"Wrong")</f>
        <v>2</v>
      </c>
      <c r="N102" s="2">
        <f>ROUND(SUMIFS([1]Responses!$J$2:$J$4001,[1]Responses!$B$2:$B$4001,$A102,[1]Responses!$K$2:$K$4001,"Medium"),2)</f>
        <v>10.06</v>
      </c>
      <c r="O102">
        <f>COUNTIFS([1]Responses!$B$2:$B$4001,$A102,[1]Responses!$K$2:$K$4001,"Low",[1]Responses!$I$2:$I$4001,"Correct")</f>
        <v>8</v>
      </c>
      <c r="P102">
        <f>COUNTIFS([1]Responses!$B$2:$B$4001,$A102,[1]Responses!$K$2:$K$4001,"Low",[1]Responses!$I$2:$I$4001,"Wrong")</f>
        <v>1</v>
      </c>
      <c r="Q102" s="2">
        <f>ROUND(SUMIFS([1]Responses!$J$2:$J$4001,[1]Responses!$B$2:$B$4001,$A102,[1]Responses!$K$2:$K$4001,"Low"),2)</f>
        <v>13.31</v>
      </c>
      <c r="R102" s="2">
        <f>ROUND(SUMIFS([1]Responses!$AB$2:$AB$4001,[1]Responses!$B$2:$B$4001,$A102),2)</f>
        <v>29.61</v>
      </c>
      <c r="S102" t="str">
        <f>IF(R102&gt;='[1]Reward Model'!$B$8,"Gold",IF(R102&gt;='[1]Reward Model'!$B$9,"Silver","Bronze"))</f>
        <v>Gold</v>
      </c>
      <c r="T102" s="2">
        <f>ROUND(R102/'[1]Reward Model'!$B$7*100,2)</f>
        <v>72.22</v>
      </c>
    </row>
    <row r="103" spans="1:20" x14ac:dyDescent="0.25">
      <c r="A103" t="s">
        <v>126</v>
      </c>
      <c r="B103" t="s">
        <v>120</v>
      </c>
      <c r="C103" t="s">
        <v>22</v>
      </c>
      <c r="D103">
        <f t="shared" si="4"/>
        <v>20</v>
      </c>
      <c r="E103" s="2">
        <f t="shared" si="5"/>
        <v>32.65</v>
      </c>
      <c r="F103">
        <f>COUNTIFS([1]Responses!$B$2:$B$4001,$A103)</f>
        <v>20</v>
      </c>
      <c r="G103">
        <f t="shared" si="7"/>
        <v>15</v>
      </c>
      <c r="H103">
        <f t="shared" si="7"/>
        <v>5</v>
      </c>
      <c r="I103">
        <f>COUNTIFS([1]Responses!$B$2:$B$4001,$A103,[1]Responses!$K$2:$K$4001,"High",[1]Responses!$I$2:$I$4001,"Correct")</f>
        <v>4</v>
      </c>
      <c r="J103">
        <f>COUNTIFS([1]Responses!$B$2:$B$4001,$A103,[1]Responses!$K$2:$K$4001,"High",[1]Responses!$I$2:$I$4001,"Wrong")</f>
        <v>1</v>
      </c>
      <c r="K103" s="2">
        <f>ROUND(SUMIFS([1]Responses!$J$2:$J$4001,[1]Responses!$B$2:$B$4001,$A103,[1]Responses!$K$2:$K$4001,"High"),2)</f>
        <v>8.8699999999999992</v>
      </c>
      <c r="L103">
        <f>COUNTIFS([1]Responses!$B$2:$B$4001,$A103,[1]Responses!$K$2:$K$4001,"Medium",[1]Responses!$I$2:$I$4001,"Correct")</f>
        <v>4</v>
      </c>
      <c r="M103">
        <f>COUNTIFS([1]Responses!$B$2:$B$4001,$A103,[1]Responses!$K$2:$K$4001,"Medium",[1]Responses!$I$2:$I$4001,"Wrong")</f>
        <v>2</v>
      </c>
      <c r="N103" s="2">
        <f>ROUND(SUMIFS([1]Responses!$J$2:$J$4001,[1]Responses!$B$2:$B$4001,$A103,[1]Responses!$K$2:$K$4001,"Medium"),2)</f>
        <v>10.119999999999999</v>
      </c>
      <c r="O103">
        <f>COUNTIFS([1]Responses!$B$2:$B$4001,$A103,[1]Responses!$K$2:$K$4001,"Low",[1]Responses!$I$2:$I$4001,"Correct")</f>
        <v>7</v>
      </c>
      <c r="P103">
        <f>COUNTIFS([1]Responses!$B$2:$B$4001,$A103,[1]Responses!$K$2:$K$4001,"Low",[1]Responses!$I$2:$I$4001,"Wrong")</f>
        <v>2</v>
      </c>
      <c r="Q103" s="2">
        <f>ROUND(SUMIFS([1]Responses!$J$2:$J$4001,[1]Responses!$B$2:$B$4001,$A103,[1]Responses!$K$2:$K$4001,"Low"),2)</f>
        <v>13.66</v>
      </c>
      <c r="R103" s="2">
        <f>ROUND(SUMIFS([1]Responses!$AB$2:$AB$4001,[1]Responses!$B$2:$B$4001,$A103),2)</f>
        <v>28.41</v>
      </c>
      <c r="S103" t="str">
        <f>IF(R103&gt;='[1]Reward Model'!$B$8,"Gold",IF(R103&gt;='[1]Reward Model'!$B$9,"Silver","Bronze"))</f>
        <v>Silver</v>
      </c>
      <c r="T103" s="2">
        <f>ROUND(R103/'[1]Reward Model'!$B$7*100,2)</f>
        <v>69.290000000000006</v>
      </c>
    </row>
    <row r="104" spans="1:20" x14ac:dyDescent="0.25">
      <c r="A104" t="s">
        <v>127</v>
      </c>
      <c r="B104" t="s">
        <v>120</v>
      </c>
      <c r="C104" t="s">
        <v>22</v>
      </c>
      <c r="D104">
        <f t="shared" si="4"/>
        <v>20</v>
      </c>
      <c r="E104" s="2">
        <f t="shared" si="5"/>
        <v>34.03</v>
      </c>
      <c r="F104">
        <f>COUNTIFS([1]Responses!$B$2:$B$4001,$A104)</f>
        <v>20</v>
      </c>
      <c r="G104">
        <f t="shared" si="7"/>
        <v>12</v>
      </c>
      <c r="H104">
        <f t="shared" si="7"/>
        <v>8</v>
      </c>
      <c r="I104">
        <f>COUNTIFS([1]Responses!$B$2:$B$4001,$A104,[1]Responses!$K$2:$K$4001,"High",[1]Responses!$I$2:$I$4001,"Correct")</f>
        <v>2</v>
      </c>
      <c r="J104">
        <f>COUNTIFS([1]Responses!$B$2:$B$4001,$A104,[1]Responses!$K$2:$K$4001,"High",[1]Responses!$I$2:$I$4001,"Wrong")</f>
        <v>3</v>
      </c>
      <c r="K104" s="2">
        <f>ROUND(SUMIFS([1]Responses!$J$2:$J$4001,[1]Responses!$B$2:$B$4001,$A104,[1]Responses!$K$2:$K$4001,"High"),2)</f>
        <v>10</v>
      </c>
      <c r="L104">
        <f>COUNTIFS([1]Responses!$B$2:$B$4001,$A104,[1]Responses!$K$2:$K$4001,"Medium",[1]Responses!$I$2:$I$4001,"Correct")</f>
        <v>5</v>
      </c>
      <c r="M104">
        <f>COUNTIFS([1]Responses!$B$2:$B$4001,$A104,[1]Responses!$K$2:$K$4001,"Medium",[1]Responses!$I$2:$I$4001,"Wrong")</f>
        <v>1</v>
      </c>
      <c r="N104" s="2">
        <f>ROUND(SUMIFS([1]Responses!$J$2:$J$4001,[1]Responses!$B$2:$B$4001,$A104,[1]Responses!$K$2:$K$4001,"Medium"),2)</f>
        <v>10.77</v>
      </c>
      <c r="O104">
        <f>COUNTIFS([1]Responses!$B$2:$B$4001,$A104,[1]Responses!$K$2:$K$4001,"Low",[1]Responses!$I$2:$I$4001,"Correct")</f>
        <v>5</v>
      </c>
      <c r="P104">
        <f>COUNTIFS([1]Responses!$B$2:$B$4001,$A104,[1]Responses!$K$2:$K$4001,"Low",[1]Responses!$I$2:$I$4001,"Wrong")</f>
        <v>4</v>
      </c>
      <c r="Q104" s="2">
        <f>ROUND(SUMIFS([1]Responses!$J$2:$J$4001,[1]Responses!$B$2:$B$4001,$A104,[1]Responses!$K$2:$K$4001,"Low"),2)</f>
        <v>13.26</v>
      </c>
      <c r="R104" s="2">
        <f>ROUND(SUMIFS([1]Responses!$AB$2:$AB$4001,[1]Responses!$B$2:$B$4001,$A104),2)</f>
        <v>22.55</v>
      </c>
      <c r="S104" t="str">
        <f>IF(R104&gt;='[1]Reward Model'!$B$8,"Gold",IF(R104&gt;='[1]Reward Model'!$B$9,"Silver","Bronze"))</f>
        <v>Silver</v>
      </c>
      <c r="T104" s="2">
        <f>ROUND(R104/'[1]Reward Model'!$B$7*100,2)</f>
        <v>55</v>
      </c>
    </row>
    <row r="105" spans="1:20" x14ac:dyDescent="0.25">
      <c r="A105" t="s">
        <v>128</v>
      </c>
      <c r="B105" t="s">
        <v>120</v>
      </c>
      <c r="C105" t="s">
        <v>22</v>
      </c>
      <c r="D105">
        <f t="shared" si="4"/>
        <v>20</v>
      </c>
      <c r="E105" s="2">
        <f t="shared" si="5"/>
        <v>31.92</v>
      </c>
      <c r="F105">
        <f>COUNTIFS([1]Responses!$B$2:$B$4001,$A105)</f>
        <v>20</v>
      </c>
      <c r="G105">
        <f t="shared" si="7"/>
        <v>7</v>
      </c>
      <c r="H105">
        <f t="shared" si="7"/>
        <v>13</v>
      </c>
      <c r="I105">
        <f>COUNTIFS([1]Responses!$B$2:$B$4001,$A105,[1]Responses!$K$2:$K$4001,"High",[1]Responses!$I$2:$I$4001,"Correct")</f>
        <v>2</v>
      </c>
      <c r="J105">
        <f>COUNTIFS([1]Responses!$B$2:$B$4001,$A105,[1]Responses!$K$2:$K$4001,"High",[1]Responses!$I$2:$I$4001,"Wrong")</f>
        <v>3</v>
      </c>
      <c r="K105" s="2">
        <f>ROUND(SUMIFS([1]Responses!$J$2:$J$4001,[1]Responses!$B$2:$B$4001,$A105,[1]Responses!$K$2:$K$4001,"High"),2)</f>
        <v>8.8699999999999992</v>
      </c>
      <c r="L105">
        <f>COUNTIFS([1]Responses!$B$2:$B$4001,$A105,[1]Responses!$K$2:$K$4001,"Medium",[1]Responses!$I$2:$I$4001,"Correct")</f>
        <v>1</v>
      </c>
      <c r="M105">
        <f>COUNTIFS([1]Responses!$B$2:$B$4001,$A105,[1]Responses!$K$2:$K$4001,"Medium",[1]Responses!$I$2:$I$4001,"Wrong")</f>
        <v>5</v>
      </c>
      <c r="N105" s="2">
        <f>ROUND(SUMIFS([1]Responses!$J$2:$J$4001,[1]Responses!$B$2:$B$4001,$A105,[1]Responses!$K$2:$K$4001,"Medium"),2)</f>
        <v>9.35</v>
      </c>
      <c r="O105">
        <f>COUNTIFS([1]Responses!$B$2:$B$4001,$A105,[1]Responses!$K$2:$K$4001,"Low",[1]Responses!$I$2:$I$4001,"Correct")</f>
        <v>4</v>
      </c>
      <c r="P105">
        <f>COUNTIFS([1]Responses!$B$2:$B$4001,$A105,[1]Responses!$K$2:$K$4001,"Low",[1]Responses!$I$2:$I$4001,"Wrong")</f>
        <v>5</v>
      </c>
      <c r="Q105" s="2">
        <f>ROUND(SUMIFS([1]Responses!$J$2:$J$4001,[1]Responses!$B$2:$B$4001,$A105,[1]Responses!$K$2:$K$4001,"Low"),2)</f>
        <v>13.7</v>
      </c>
      <c r="R105" s="2">
        <f>ROUND(SUMIFS([1]Responses!$AB$2:$AB$4001,[1]Responses!$B$2:$B$4001,$A105),2)</f>
        <v>12.85</v>
      </c>
      <c r="S105" t="str">
        <f>IF(R105&gt;='[1]Reward Model'!$B$8,"Gold",IF(R105&gt;='[1]Reward Model'!$B$9,"Silver","Bronze"))</f>
        <v>Bronze</v>
      </c>
      <c r="T105" s="2">
        <f>ROUND(R105/'[1]Reward Model'!$B$7*100,2)</f>
        <v>31.34</v>
      </c>
    </row>
    <row r="106" spans="1:20" x14ac:dyDescent="0.25">
      <c r="A106" t="s">
        <v>129</v>
      </c>
      <c r="B106" t="s">
        <v>120</v>
      </c>
      <c r="C106" t="s">
        <v>22</v>
      </c>
      <c r="D106">
        <f t="shared" si="4"/>
        <v>20</v>
      </c>
      <c r="E106" s="2">
        <f t="shared" si="5"/>
        <v>34.630000000000003</v>
      </c>
      <c r="F106">
        <f>COUNTIFS([1]Responses!$B$2:$B$4001,$A106)</f>
        <v>20</v>
      </c>
      <c r="G106">
        <f t="shared" si="7"/>
        <v>12</v>
      </c>
      <c r="H106">
        <f t="shared" si="7"/>
        <v>8</v>
      </c>
      <c r="I106">
        <f>COUNTIFS([1]Responses!$B$2:$B$4001,$A106,[1]Responses!$K$2:$K$4001,"High",[1]Responses!$I$2:$I$4001,"Correct")</f>
        <v>2</v>
      </c>
      <c r="J106">
        <f>COUNTIFS([1]Responses!$B$2:$B$4001,$A106,[1]Responses!$K$2:$K$4001,"High",[1]Responses!$I$2:$I$4001,"Wrong")</f>
        <v>3</v>
      </c>
      <c r="K106" s="2">
        <f>ROUND(SUMIFS([1]Responses!$J$2:$J$4001,[1]Responses!$B$2:$B$4001,$A106,[1]Responses!$K$2:$K$4001,"High"),2)</f>
        <v>9.7799999999999994</v>
      </c>
      <c r="L106">
        <f>COUNTIFS([1]Responses!$B$2:$B$4001,$A106,[1]Responses!$K$2:$K$4001,"Medium",[1]Responses!$I$2:$I$4001,"Correct")</f>
        <v>4</v>
      </c>
      <c r="M106">
        <f>COUNTIFS([1]Responses!$B$2:$B$4001,$A106,[1]Responses!$K$2:$K$4001,"Medium",[1]Responses!$I$2:$I$4001,"Wrong")</f>
        <v>2</v>
      </c>
      <c r="N106" s="2">
        <f>ROUND(SUMIFS([1]Responses!$J$2:$J$4001,[1]Responses!$B$2:$B$4001,$A106,[1]Responses!$K$2:$K$4001,"Medium"),2)</f>
        <v>10.19</v>
      </c>
      <c r="O106">
        <f>COUNTIFS([1]Responses!$B$2:$B$4001,$A106,[1]Responses!$K$2:$K$4001,"Low",[1]Responses!$I$2:$I$4001,"Correct")</f>
        <v>6</v>
      </c>
      <c r="P106">
        <f>COUNTIFS([1]Responses!$B$2:$B$4001,$A106,[1]Responses!$K$2:$K$4001,"Low",[1]Responses!$I$2:$I$4001,"Wrong")</f>
        <v>3</v>
      </c>
      <c r="Q106" s="2">
        <f>ROUND(SUMIFS([1]Responses!$J$2:$J$4001,[1]Responses!$B$2:$B$4001,$A106,[1]Responses!$K$2:$K$4001,"Low"),2)</f>
        <v>14.66</v>
      </c>
      <c r="R106" s="2">
        <f>ROUND(SUMIFS([1]Responses!$AB$2:$AB$4001,[1]Responses!$B$2:$B$4001,$A106),2)</f>
        <v>22.32</v>
      </c>
      <c r="S106" t="str">
        <f>IF(R106&gt;='[1]Reward Model'!$B$8,"Gold",IF(R106&gt;='[1]Reward Model'!$B$9,"Silver","Bronze"))</f>
        <v>Silver</v>
      </c>
      <c r="T106" s="2">
        <f>ROUND(R106/'[1]Reward Model'!$B$7*100,2)</f>
        <v>54.44</v>
      </c>
    </row>
    <row r="107" spans="1:20" x14ac:dyDescent="0.25">
      <c r="A107" t="s">
        <v>130</v>
      </c>
      <c r="B107" t="s">
        <v>120</v>
      </c>
      <c r="C107" t="s">
        <v>22</v>
      </c>
      <c r="D107">
        <f t="shared" si="4"/>
        <v>20</v>
      </c>
      <c r="E107" s="2">
        <f t="shared" si="5"/>
        <v>34.14</v>
      </c>
      <c r="F107">
        <f>COUNTIFS([1]Responses!$B$2:$B$4001,$A107)</f>
        <v>20</v>
      </c>
      <c r="G107">
        <f t="shared" si="7"/>
        <v>8</v>
      </c>
      <c r="H107">
        <f t="shared" si="7"/>
        <v>12</v>
      </c>
      <c r="I107">
        <f>COUNTIFS([1]Responses!$B$2:$B$4001,$A107,[1]Responses!$K$2:$K$4001,"High",[1]Responses!$I$2:$I$4001,"Correct")</f>
        <v>1</v>
      </c>
      <c r="J107">
        <f>COUNTIFS([1]Responses!$B$2:$B$4001,$A107,[1]Responses!$K$2:$K$4001,"High",[1]Responses!$I$2:$I$4001,"Wrong")</f>
        <v>4</v>
      </c>
      <c r="K107" s="2">
        <f>ROUND(SUMIFS([1]Responses!$J$2:$J$4001,[1]Responses!$B$2:$B$4001,$A107,[1]Responses!$K$2:$K$4001,"High"),2)</f>
        <v>10.98</v>
      </c>
      <c r="L107">
        <f>COUNTIFS([1]Responses!$B$2:$B$4001,$A107,[1]Responses!$K$2:$K$4001,"Medium",[1]Responses!$I$2:$I$4001,"Correct")</f>
        <v>1</v>
      </c>
      <c r="M107">
        <f>COUNTIFS([1]Responses!$B$2:$B$4001,$A107,[1]Responses!$K$2:$K$4001,"Medium",[1]Responses!$I$2:$I$4001,"Wrong")</f>
        <v>5</v>
      </c>
      <c r="N107" s="2">
        <f>ROUND(SUMIFS([1]Responses!$J$2:$J$4001,[1]Responses!$B$2:$B$4001,$A107,[1]Responses!$K$2:$K$4001,"Medium"),2)</f>
        <v>10.02</v>
      </c>
      <c r="O107">
        <f>COUNTIFS([1]Responses!$B$2:$B$4001,$A107,[1]Responses!$K$2:$K$4001,"Low",[1]Responses!$I$2:$I$4001,"Correct")</f>
        <v>6</v>
      </c>
      <c r="P107">
        <f>COUNTIFS([1]Responses!$B$2:$B$4001,$A107,[1]Responses!$K$2:$K$4001,"Low",[1]Responses!$I$2:$I$4001,"Wrong")</f>
        <v>3</v>
      </c>
      <c r="Q107" s="2">
        <f>ROUND(SUMIFS([1]Responses!$J$2:$J$4001,[1]Responses!$B$2:$B$4001,$A107,[1]Responses!$K$2:$K$4001,"Low"),2)</f>
        <v>13.14</v>
      </c>
      <c r="R107" s="2">
        <f>ROUND(SUMIFS([1]Responses!$AB$2:$AB$4001,[1]Responses!$B$2:$B$4001,$A107),2)</f>
        <v>11.83</v>
      </c>
      <c r="S107" t="str">
        <f>IF(R107&gt;='[1]Reward Model'!$B$8,"Gold",IF(R107&gt;='[1]Reward Model'!$B$9,"Silver","Bronze"))</f>
        <v>Bronze</v>
      </c>
      <c r="T107" s="2">
        <f>ROUND(R107/'[1]Reward Model'!$B$7*100,2)</f>
        <v>28.85</v>
      </c>
    </row>
    <row r="108" spans="1:20" x14ac:dyDescent="0.25">
      <c r="A108" t="s">
        <v>131</v>
      </c>
      <c r="B108" t="s">
        <v>120</v>
      </c>
      <c r="C108" t="s">
        <v>22</v>
      </c>
      <c r="D108">
        <f t="shared" si="4"/>
        <v>20</v>
      </c>
      <c r="E108" s="2">
        <f t="shared" si="5"/>
        <v>32.26</v>
      </c>
      <c r="F108">
        <f>COUNTIFS([1]Responses!$B$2:$B$4001,$A108)</f>
        <v>20</v>
      </c>
      <c r="G108">
        <f t="shared" si="7"/>
        <v>13</v>
      </c>
      <c r="H108">
        <f t="shared" si="7"/>
        <v>7</v>
      </c>
      <c r="I108">
        <f>COUNTIFS([1]Responses!$B$2:$B$4001,$A108,[1]Responses!$K$2:$K$4001,"High",[1]Responses!$I$2:$I$4001,"Correct")</f>
        <v>2</v>
      </c>
      <c r="J108">
        <f>COUNTIFS([1]Responses!$B$2:$B$4001,$A108,[1]Responses!$K$2:$K$4001,"High",[1]Responses!$I$2:$I$4001,"Wrong")</f>
        <v>3</v>
      </c>
      <c r="K108" s="2">
        <f>ROUND(SUMIFS([1]Responses!$J$2:$J$4001,[1]Responses!$B$2:$B$4001,$A108,[1]Responses!$K$2:$K$4001,"High"),2)</f>
        <v>9.3699999999999992</v>
      </c>
      <c r="L108">
        <f>COUNTIFS([1]Responses!$B$2:$B$4001,$A108,[1]Responses!$K$2:$K$4001,"Medium",[1]Responses!$I$2:$I$4001,"Correct")</f>
        <v>4</v>
      </c>
      <c r="M108">
        <f>COUNTIFS([1]Responses!$B$2:$B$4001,$A108,[1]Responses!$K$2:$K$4001,"Medium",[1]Responses!$I$2:$I$4001,"Wrong")</f>
        <v>2</v>
      </c>
      <c r="N108" s="2">
        <f>ROUND(SUMIFS([1]Responses!$J$2:$J$4001,[1]Responses!$B$2:$B$4001,$A108,[1]Responses!$K$2:$K$4001,"Medium"),2)</f>
        <v>9.3000000000000007</v>
      </c>
      <c r="O108">
        <f>COUNTIFS([1]Responses!$B$2:$B$4001,$A108,[1]Responses!$K$2:$K$4001,"Low",[1]Responses!$I$2:$I$4001,"Correct")</f>
        <v>7</v>
      </c>
      <c r="P108">
        <f>COUNTIFS([1]Responses!$B$2:$B$4001,$A108,[1]Responses!$K$2:$K$4001,"Low",[1]Responses!$I$2:$I$4001,"Wrong")</f>
        <v>2</v>
      </c>
      <c r="Q108" s="2">
        <f>ROUND(SUMIFS([1]Responses!$J$2:$J$4001,[1]Responses!$B$2:$B$4001,$A108,[1]Responses!$K$2:$K$4001,"Low"),2)</f>
        <v>13.59</v>
      </c>
      <c r="R108" s="2">
        <f>ROUND(SUMIFS([1]Responses!$AB$2:$AB$4001,[1]Responses!$B$2:$B$4001,$A108),2)</f>
        <v>24.36</v>
      </c>
      <c r="S108" t="str">
        <f>IF(R108&gt;='[1]Reward Model'!$B$8,"Gold",IF(R108&gt;='[1]Reward Model'!$B$9,"Silver","Bronze"))</f>
        <v>Silver</v>
      </c>
      <c r="T108" s="2">
        <f>ROUND(R108/'[1]Reward Model'!$B$7*100,2)</f>
        <v>59.41</v>
      </c>
    </row>
    <row r="109" spans="1:20" x14ac:dyDescent="0.25">
      <c r="A109" t="s">
        <v>132</v>
      </c>
      <c r="B109" t="s">
        <v>120</v>
      </c>
      <c r="C109" t="s">
        <v>22</v>
      </c>
      <c r="D109">
        <f t="shared" si="4"/>
        <v>20</v>
      </c>
      <c r="E109" s="2">
        <f t="shared" si="5"/>
        <v>32.1</v>
      </c>
      <c r="F109">
        <f>COUNTIFS([1]Responses!$B$2:$B$4001,$A109)</f>
        <v>20</v>
      </c>
      <c r="G109">
        <f t="shared" si="7"/>
        <v>13</v>
      </c>
      <c r="H109">
        <f t="shared" si="7"/>
        <v>7</v>
      </c>
      <c r="I109">
        <f>COUNTIFS([1]Responses!$B$2:$B$4001,$A109,[1]Responses!$K$2:$K$4001,"High",[1]Responses!$I$2:$I$4001,"Correct")</f>
        <v>3</v>
      </c>
      <c r="J109">
        <f>COUNTIFS([1]Responses!$B$2:$B$4001,$A109,[1]Responses!$K$2:$K$4001,"High",[1]Responses!$I$2:$I$4001,"Wrong")</f>
        <v>2</v>
      </c>
      <c r="K109" s="2">
        <f>ROUND(SUMIFS([1]Responses!$J$2:$J$4001,[1]Responses!$B$2:$B$4001,$A109,[1]Responses!$K$2:$K$4001,"High"),2)</f>
        <v>7.37</v>
      </c>
      <c r="L109">
        <f>COUNTIFS([1]Responses!$B$2:$B$4001,$A109,[1]Responses!$K$2:$K$4001,"Medium",[1]Responses!$I$2:$I$4001,"Correct")</f>
        <v>3</v>
      </c>
      <c r="M109">
        <f>COUNTIFS([1]Responses!$B$2:$B$4001,$A109,[1]Responses!$K$2:$K$4001,"Medium",[1]Responses!$I$2:$I$4001,"Wrong")</f>
        <v>3</v>
      </c>
      <c r="N109" s="2">
        <f>ROUND(SUMIFS([1]Responses!$J$2:$J$4001,[1]Responses!$B$2:$B$4001,$A109,[1]Responses!$K$2:$K$4001,"Medium"),2)</f>
        <v>10.71</v>
      </c>
      <c r="O109">
        <f>COUNTIFS([1]Responses!$B$2:$B$4001,$A109,[1]Responses!$K$2:$K$4001,"Low",[1]Responses!$I$2:$I$4001,"Correct")</f>
        <v>7</v>
      </c>
      <c r="P109">
        <f>COUNTIFS([1]Responses!$B$2:$B$4001,$A109,[1]Responses!$K$2:$K$4001,"Low",[1]Responses!$I$2:$I$4001,"Wrong")</f>
        <v>2</v>
      </c>
      <c r="Q109" s="2">
        <f>ROUND(SUMIFS([1]Responses!$J$2:$J$4001,[1]Responses!$B$2:$B$4001,$A109,[1]Responses!$K$2:$K$4001,"Low"),2)</f>
        <v>14.02</v>
      </c>
      <c r="R109" s="2">
        <f>ROUND(SUMIFS([1]Responses!$AB$2:$AB$4001,[1]Responses!$B$2:$B$4001,$A109),2)</f>
        <v>23.6</v>
      </c>
      <c r="S109" t="str">
        <f>IF(R109&gt;='[1]Reward Model'!$B$8,"Gold",IF(R109&gt;='[1]Reward Model'!$B$9,"Silver","Bronze"))</f>
        <v>Silver</v>
      </c>
      <c r="T109" s="2">
        <f>ROUND(R109/'[1]Reward Model'!$B$7*100,2)</f>
        <v>57.56</v>
      </c>
    </row>
    <row r="110" spans="1:20" x14ac:dyDescent="0.25">
      <c r="A110" t="s">
        <v>133</v>
      </c>
      <c r="B110" t="s">
        <v>120</v>
      </c>
      <c r="C110" t="s">
        <v>22</v>
      </c>
      <c r="D110">
        <f t="shared" si="4"/>
        <v>20</v>
      </c>
      <c r="E110" s="2">
        <f t="shared" si="5"/>
        <v>32.590000000000003</v>
      </c>
      <c r="F110">
        <f>COUNTIFS([1]Responses!$B$2:$B$4001,$A110)</f>
        <v>20</v>
      </c>
      <c r="G110">
        <f t="shared" si="7"/>
        <v>11</v>
      </c>
      <c r="H110">
        <f t="shared" si="7"/>
        <v>9</v>
      </c>
      <c r="I110">
        <f>COUNTIFS([1]Responses!$B$2:$B$4001,$A110,[1]Responses!$K$2:$K$4001,"High",[1]Responses!$I$2:$I$4001,"Correct")</f>
        <v>2</v>
      </c>
      <c r="J110">
        <f>COUNTIFS([1]Responses!$B$2:$B$4001,$A110,[1]Responses!$K$2:$K$4001,"High",[1]Responses!$I$2:$I$4001,"Wrong")</f>
        <v>3</v>
      </c>
      <c r="K110" s="2">
        <f>ROUND(SUMIFS([1]Responses!$J$2:$J$4001,[1]Responses!$B$2:$B$4001,$A110,[1]Responses!$K$2:$K$4001,"High"),2)</f>
        <v>8.3699999999999992</v>
      </c>
      <c r="L110">
        <f>COUNTIFS([1]Responses!$B$2:$B$4001,$A110,[1]Responses!$K$2:$K$4001,"Medium",[1]Responses!$I$2:$I$4001,"Correct")</f>
        <v>2</v>
      </c>
      <c r="M110">
        <f>COUNTIFS([1]Responses!$B$2:$B$4001,$A110,[1]Responses!$K$2:$K$4001,"Medium",[1]Responses!$I$2:$I$4001,"Wrong")</f>
        <v>4</v>
      </c>
      <c r="N110" s="2">
        <f>ROUND(SUMIFS([1]Responses!$J$2:$J$4001,[1]Responses!$B$2:$B$4001,$A110,[1]Responses!$K$2:$K$4001,"Medium"),2)</f>
        <v>9.99</v>
      </c>
      <c r="O110">
        <f>COUNTIFS([1]Responses!$B$2:$B$4001,$A110,[1]Responses!$K$2:$K$4001,"Low",[1]Responses!$I$2:$I$4001,"Correct")</f>
        <v>7</v>
      </c>
      <c r="P110">
        <f>COUNTIFS([1]Responses!$B$2:$B$4001,$A110,[1]Responses!$K$2:$K$4001,"Low",[1]Responses!$I$2:$I$4001,"Wrong")</f>
        <v>2</v>
      </c>
      <c r="Q110" s="2">
        <f>ROUND(SUMIFS([1]Responses!$J$2:$J$4001,[1]Responses!$B$2:$B$4001,$A110,[1]Responses!$K$2:$K$4001,"Low"),2)</f>
        <v>14.23</v>
      </c>
      <c r="R110" s="2">
        <f>ROUND(SUMIFS([1]Responses!$AB$2:$AB$4001,[1]Responses!$B$2:$B$4001,$A110),2)</f>
        <v>19.579999999999998</v>
      </c>
      <c r="S110" t="str">
        <f>IF(R110&gt;='[1]Reward Model'!$B$8,"Gold",IF(R110&gt;='[1]Reward Model'!$B$9,"Silver","Bronze"))</f>
        <v>Bronze</v>
      </c>
      <c r="T110" s="2">
        <f>ROUND(R110/'[1]Reward Model'!$B$7*100,2)</f>
        <v>47.76</v>
      </c>
    </row>
    <row r="111" spans="1:20" x14ac:dyDescent="0.25">
      <c r="A111" t="s">
        <v>134</v>
      </c>
      <c r="B111" t="s">
        <v>120</v>
      </c>
      <c r="C111" t="s">
        <v>22</v>
      </c>
      <c r="D111">
        <f t="shared" si="4"/>
        <v>20</v>
      </c>
      <c r="E111" s="2">
        <f t="shared" si="5"/>
        <v>33.56</v>
      </c>
      <c r="F111">
        <f>COUNTIFS([1]Responses!$B$2:$B$4001,$A111)</f>
        <v>20</v>
      </c>
      <c r="G111">
        <f t="shared" si="7"/>
        <v>16</v>
      </c>
      <c r="H111">
        <f t="shared" si="7"/>
        <v>4</v>
      </c>
      <c r="I111">
        <f>COUNTIFS([1]Responses!$B$2:$B$4001,$A111,[1]Responses!$K$2:$K$4001,"High",[1]Responses!$I$2:$I$4001,"Correct")</f>
        <v>3</v>
      </c>
      <c r="J111">
        <f>COUNTIFS([1]Responses!$B$2:$B$4001,$A111,[1]Responses!$K$2:$K$4001,"High",[1]Responses!$I$2:$I$4001,"Wrong")</f>
        <v>2</v>
      </c>
      <c r="K111" s="2">
        <f>ROUND(SUMIFS([1]Responses!$J$2:$J$4001,[1]Responses!$B$2:$B$4001,$A111,[1]Responses!$K$2:$K$4001,"High"),2)</f>
        <v>9.32</v>
      </c>
      <c r="L111">
        <f>COUNTIFS([1]Responses!$B$2:$B$4001,$A111,[1]Responses!$K$2:$K$4001,"Medium",[1]Responses!$I$2:$I$4001,"Correct")</f>
        <v>5</v>
      </c>
      <c r="M111">
        <f>COUNTIFS([1]Responses!$B$2:$B$4001,$A111,[1]Responses!$K$2:$K$4001,"Medium",[1]Responses!$I$2:$I$4001,"Wrong")</f>
        <v>1</v>
      </c>
      <c r="N111" s="2">
        <f>ROUND(SUMIFS([1]Responses!$J$2:$J$4001,[1]Responses!$B$2:$B$4001,$A111,[1]Responses!$K$2:$K$4001,"Medium"),2)</f>
        <v>10.46</v>
      </c>
      <c r="O111">
        <f>COUNTIFS([1]Responses!$B$2:$B$4001,$A111,[1]Responses!$K$2:$K$4001,"Low",[1]Responses!$I$2:$I$4001,"Correct")</f>
        <v>8</v>
      </c>
      <c r="P111">
        <f>COUNTIFS([1]Responses!$B$2:$B$4001,$A111,[1]Responses!$K$2:$K$4001,"Low",[1]Responses!$I$2:$I$4001,"Wrong")</f>
        <v>1</v>
      </c>
      <c r="Q111" s="2">
        <f>ROUND(SUMIFS([1]Responses!$J$2:$J$4001,[1]Responses!$B$2:$B$4001,$A111,[1]Responses!$K$2:$K$4001,"Low"),2)</f>
        <v>13.78</v>
      </c>
      <c r="R111" s="2">
        <f>ROUND(SUMIFS([1]Responses!$AB$2:$AB$4001,[1]Responses!$B$2:$B$4001,$A111),2)</f>
        <v>28.99</v>
      </c>
      <c r="S111" t="str">
        <f>IF(R111&gt;='[1]Reward Model'!$B$8,"Gold",IF(R111&gt;='[1]Reward Model'!$B$9,"Silver","Bronze"))</f>
        <v>Gold</v>
      </c>
      <c r="T111" s="2">
        <f>ROUND(R111/'[1]Reward Model'!$B$7*100,2)</f>
        <v>70.709999999999994</v>
      </c>
    </row>
    <row r="112" spans="1:20" x14ac:dyDescent="0.25">
      <c r="A112" t="s">
        <v>135</v>
      </c>
      <c r="B112" t="s">
        <v>120</v>
      </c>
      <c r="C112" t="s">
        <v>22</v>
      </c>
      <c r="D112">
        <f t="shared" si="4"/>
        <v>20</v>
      </c>
      <c r="E112" s="2">
        <f t="shared" si="5"/>
        <v>34.43</v>
      </c>
      <c r="F112">
        <f>COUNTIFS([1]Responses!$B$2:$B$4001,$A112)</f>
        <v>20</v>
      </c>
      <c r="G112">
        <f t="shared" si="7"/>
        <v>9</v>
      </c>
      <c r="H112">
        <f t="shared" si="7"/>
        <v>11</v>
      </c>
      <c r="I112">
        <f>COUNTIFS([1]Responses!$B$2:$B$4001,$A112,[1]Responses!$K$2:$K$4001,"High",[1]Responses!$I$2:$I$4001,"Correct")</f>
        <v>1</v>
      </c>
      <c r="J112">
        <f>COUNTIFS([1]Responses!$B$2:$B$4001,$A112,[1]Responses!$K$2:$K$4001,"High",[1]Responses!$I$2:$I$4001,"Wrong")</f>
        <v>4</v>
      </c>
      <c r="K112" s="2">
        <f>ROUND(SUMIFS([1]Responses!$J$2:$J$4001,[1]Responses!$B$2:$B$4001,$A112,[1]Responses!$K$2:$K$4001,"High"),2)</f>
        <v>10.02</v>
      </c>
      <c r="L112">
        <f>COUNTIFS([1]Responses!$B$2:$B$4001,$A112,[1]Responses!$K$2:$K$4001,"Medium",[1]Responses!$I$2:$I$4001,"Correct")</f>
        <v>3</v>
      </c>
      <c r="M112">
        <f>COUNTIFS([1]Responses!$B$2:$B$4001,$A112,[1]Responses!$K$2:$K$4001,"Medium",[1]Responses!$I$2:$I$4001,"Wrong")</f>
        <v>3</v>
      </c>
      <c r="N112" s="2">
        <f>ROUND(SUMIFS([1]Responses!$J$2:$J$4001,[1]Responses!$B$2:$B$4001,$A112,[1]Responses!$K$2:$K$4001,"Medium"),2)</f>
        <v>10.68</v>
      </c>
      <c r="O112">
        <f>COUNTIFS([1]Responses!$B$2:$B$4001,$A112,[1]Responses!$K$2:$K$4001,"Low",[1]Responses!$I$2:$I$4001,"Correct")</f>
        <v>5</v>
      </c>
      <c r="P112">
        <f>COUNTIFS([1]Responses!$B$2:$B$4001,$A112,[1]Responses!$K$2:$K$4001,"Low",[1]Responses!$I$2:$I$4001,"Wrong")</f>
        <v>4</v>
      </c>
      <c r="Q112" s="2">
        <f>ROUND(SUMIFS([1]Responses!$J$2:$J$4001,[1]Responses!$B$2:$B$4001,$A112,[1]Responses!$K$2:$K$4001,"Low"),2)</f>
        <v>13.73</v>
      </c>
      <c r="R112" s="2">
        <f>ROUND(SUMIFS([1]Responses!$AB$2:$AB$4001,[1]Responses!$B$2:$B$4001,$A112),2)</f>
        <v>16.07</v>
      </c>
      <c r="S112" t="str">
        <f>IF(R112&gt;='[1]Reward Model'!$B$8,"Gold",IF(R112&gt;='[1]Reward Model'!$B$9,"Silver","Bronze"))</f>
        <v>Bronze</v>
      </c>
      <c r="T112" s="2">
        <f>ROUND(R112/'[1]Reward Model'!$B$7*100,2)</f>
        <v>39.200000000000003</v>
      </c>
    </row>
    <row r="113" spans="1:20" x14ac:dyDescent="0.25">
      <c r="A113" t="s">
        <v>136</v>
      </c>
      <c r="B113" t="s">
        <v>120</v>
      </c>
      <c r="C113" t="s">
        <v>22</v>
      </c>
      <c r="D113">
        <f t="shared" si="4"/>
        <v>20</v>
      </c>
      <c r="E113" s="2">
        <f t="shared" si="5"/>
        <v>32.5</v>
      </c>
      <c r="F113">
        <f>COUNTIFS([1]Responses!$B$2:$B$4001,$A113)</f>
        <v>20</v>
      </c>
      <c r="G113">
        <f t="shared" si="7"/>
        <v>14</v>
      </c>
      <c r="H113">
        <f t="shared" si="7"/>
        <v>6</v>
      </c>
      <c r="I113">
        <f>COUNTIFS([1]Responses!$B$2:$B$4001,$A113,[1]Responses!$K$2:$K$4001,"High",[1]Responses!$I$2:$I$4001,"Correct")</f>
        <v>2</v>
      </c>
      <c r="J113">
        <f>COUNTIFS([1]Responses!$B$2:$B$4001,$A113,[1]Responses!$K$2:$K$4001,"High",[1]Responses!$I$2:$I$4001,"Wrong")</f>
        <v>3</v>
      </c>
      <c r="K113" s="2">
        <f>ROUND(SUMIFS([1]Responses!$J$2:$J$4001,[1]Responses!$B$2:$B$4001,$A113,[1]Responses!$K$2:$K$4001,"High"),2)</f>
        <v>8.15</v>
      </c>
      <c r="L113">
        <f>COUNTIFS([1]Responses!$B$2:$B$4001,$A113,[1]Responses!$K$2:$K$4001,"Medium",[1]Responses!$I$2:$I$4001,"Correct")</f>
        <v>4</v>
      </c>
      <c r="M113">
        <f>COUNTIFS([1]Responses!$B$2:$B$4001,$A113,[1]Responses!$K$2:$K$4001,"Medium",[1]Responses!$I$2:$I$4001,"Wrong")</f>
        <v>2</v>
      </c>
      <c r="N113" s="2">
        <f>ROUND(SUMIFS([1]Responses!$J$2:$J$4001,[1]Responses!$B$2:$B$4001,$A113,[1]Responses!$K$2:$K$4001,"Medium"),2)</f>
        <v>10.34</v>
      </c>
      <c r="O113">
        <f>COUNTIFS([1]Responses!$B$2:$B$4001,$A113,[1]Responses!$K$2:$K$4001,"Low",[1]Responses!$I$2:$I$4001,"Correct")</f>
        <v>8</v>
      </c>
      <c r="P113">
        <f>COUNTIFS([1]Responses!$B$2:$B$4001,$A113,[1]Responses!$K$2:$K$4001,"Low",[1]Responses!$I$2:$I$4001,"Wrong")</f>
        <v>1</v>
      </c>
      <c r="Q113" s="2">
        <f>ROUND(SUMIFS([1]Responses!$J$2:$J$4001,[1]Responses!$B$2:$B$4001,$A113,[1]Responses!$K$2:$K$4001,"Low"),2)</f>
        <v>14.01</v>
      </c>
      <c r="R113" s="2">
        <f>ROUND(SUMIFS([1]Responses!$AB$2:$AB$4001,[1]Responses!$B$2:$B$4001,$A113),2)</f>
        <v>25.17</v>
      </c>
      <c r="S113" t="str">
        <f>IF(R113&gt;='[1]Reward Model'!$B$8,"Gold",IF(R113&gt;='[1]Reward Model'!$B$9,"Silver","Bronze"))</f>
        <v>Silver</v>
      </c>
      <c r="T113" s="2">
        <f>ROUND(R113/'[1]Reward Model'!$B$7*100,2)</f>
        <v>61.39</v>
      </c>
    </row>
    <row r="114" spans="1:20" x14ac:dyDescent="0.25">
      <c r="A114" t="s">
        <v>137</v>
      </c>
      <c r="B114" t="s">
        <v>120</v>
      </c>
      <c r="C114" t="s">
        <v>22</v>
      </c>
      <c r="D114">
        <f t="shared" si="4"/>
        <v>20</v>
      </c>
      <c r="E114" s="2">
        <f t="shared" si="5"/>
        <v>31.29</v>
      </c>
      <c r="F114">
        <f>COUNTIFS([1]Responses!$B$2:$B$4001,$A114)</f>
        <v>20</v>
      </c>
      <c r="G114">
        <f t="shared" si="7"/>
        <v>16</v>
      </c>
      <c r="H114">
        <f t="shared" si="7"/>
        <v>4</v>
      </c>
      <c r="I114">
        <f>COUNTIFS([1]Responses!$B$2:$B$4001,$A114,[1]Responses!$K$2:$K$4001,"High",[1]Responses!$I$2:$I$4001,"Correct")</f>
        <v>4</v>
      </c>
      <c r="J114">
        <f>COUNTIFS([1]Responses!$B$2:$B$4001,$A114,[1]Responses!$K$2:$K$4001,"High",[1]Responses!$I$2:$I$4001,"Wrong")</f>
        <v>1</v>
      </c>
      <c r="K114" s="2">
        <f>ROUND(SUMIFS([1]Responses!$J$2:$J$4001,[1]Responses!$B$2:$B$4001,$A114,[1]Responses!$K$2:$K$4001,"High"),2)</f>
        <v>8.5500000000000007</v>
      </c>
      <c r="L114">
        <f>COUNTIFS([1]Responses!$B$2:$B$4001,$A114,[1]Responses!$K$2:$K$4001,"Medium",[1]Responses!$I$2:$I$4001,"Correct")</f>
        <v>4</v>
      </c>
      <c r="M114">
        <f>COUNTIFS([1]Responses!$B$2:$B$4001,$A114,[1]Responses!$K$2:$K$4001,"Medium",[1]Responses!$I$2:$I$4001,"Wrong")</f>
        <v>2</v>
      </c>
      <c r="N114" s="2">
        <f>ROUND(SUMIFS([1]Responses!$J$2:$J$4001,[1]Responses!$B$2:$B$4001,$A114,[1]Responses!$K$2:$K$4001,"Medium"),2)</f>
        <v>10.09</v>
      </c>
      <c r="O114">
        <f>COUNTIFS([1]Responses!$B$2:$B$4001,$A114,[1]Responses!$K$2:$K$4001,"Low",[1]Responses!$I$2:$I$4001,"Correct")</f>
        <v>8</v>
      </c>
      <c r="P114">
        <f>COUNTIFS([1]Responses!$B$2:$B$4001,$A114,[1]Responses!$K$2:$K$4001,"Low",[1]Responses!$I$2:$I$4001,"Wrong")</f>
        <v>1</v>
      </c>
      <c r="Q114" s="2">
        <f>ROUND(SUMIFS([1]Responses!$J$2:$J$4001,[1]Responses!$B$2:$B$4001,$A114,[1]Responses!$K$2:$K$4001,"Low"),2)</f>
        <v>12.65</v>
      </c>
      <c r="R114" s="2">
        <f>ROUND(SUMIFS([1]Responses!$AB$2:$AB$4001,[1]Responses!$B$2:$B$4001,$A114),2)</f>
        <v>30.63</v>
      </c>
      <c r="S114" t="str">
        <f>IF(R114&gt;='[1]Reward Model'!$B$8,"Gold",IF(R114&gt;='[1]Reward Model'!$B$9,"Silver","Bronze"))</f>
        <v>Gold</v>
      </c>
      <c r="T114" s="2">
        <f>ROUND(R114/'[1]Reward Model'!$B$7*100,2)</f>
        <v>74.709999999999994</v>
      </c>
    </row>
    <row r="115" spans="1:20" x14ac:dyDescent="0.25">
      <c r="A115" t="s">
        <v>138</v>
      </c>
      <c r="B115" t="s">
        <v>120</v>
      </c>
      <c r="C115" t="s">
        <v>22</v>
      </c>
      <c r="D115">
        <f t="shared" si="4"/>
        <v>20</v>
      </c>
      <c r="E115" s="2">
        <f t="shared" si="5"/>
        <v>31.64</v>
      </c>
      <c r="F115">
        <f>COUNTIFS([1]Responses!$B$2:$B$4001,$A115)</f>
        <v>20</v>
      </c>
      <c r="G115">
        <f t="shared" si="7"/>
        <v>14</v>
      </c>
      <c r="H115">
        <f t="shared" si="7"/>
        <v>6</v>
      </c>
      <c r="I115">
        <f>COUNTIFS([1]Responses!$B$2:$B$4001,$A115,[1]Responses!$K$2:$K$4001,"High",[1]Responses!$I$2:$I$4001,"Correct")</f>
        <v>1</v>
      </c>
      <c r="J115">
        <f>COUNTIFS([1]Responses!$B$2:$B$4001,$A115,[1]Responses!$K$2:$K$4001,"High",[1]Responses!$I$2:$I$4001,"Wrong")</f>
        <v>4</v>
      </c>
      <c r="K115" s="2">
        <f>ROUND(SUMIFS([1]Responses!$J$2:$J$4001,[1]Responses!$B$2:$B$4001,$A115,[1]Responses!$K$2:$K$4001,"High"),2)</f>
        <v>9.48</v>
      </c>
      <c r="L115">
        <f>COUNTIFS([1]Responses!$B$2:$B$4001,$A115,[1]Responses!$K$2:$K$4001,"Medium",[1]Responses!$I$2:$I$4001,"Correct")</f>
        <v>5</v>
      </c>
      <c r="M115">
        <f>COUNTIFS([1]Responses!$B$2:$B$4001,$A115,[1]Responses!$K$2:$K$4001,"Medium",[1]Responses!$I$2:$I$4001,"Wrong")</f>
        <v>1</v>
      </c>
      <c r="N115" s="2">
        <f>ROUND(SUMIFS([1]Responses!$J$2:$J$4001,[1]Responses!$B$2:$B$4001,$A115,[1]Responses!$K$2:$K$4001,"Medium"),2)</f>
        <v>9.43</v>
      </c>
      <c r="O115">
        <f>COUNTIFS([1]Responses!$B$2:$B$4001,$A115,[1]Responses!$K$2:$K$4001,"Low",[1]Responses!$I$2:$I$4001,"Correct")</f>
        <v>8</v>
      </c>
      <c r="P115">
        <f>COUNTIFS([1]Responses!$B$2:$B$4001,$A115,[1]Responses!$K$2:$K$4001,"Low",[1]Responses!$I$2:$I$4001,"Wrong")</f>
        <v>1</v>
      </c>
      <c r="Q115" s="2">
        <f>ROUND(SUMIFS([1]Responses!$J$2:$J$4001,[1]Responses!$B$2:$B$4001,$A115,[1]Responses!$K$2:$K$4001,"Low"),2)</f>
        <v>12.73</v>
      </c>
      <c r="R115" s="2">
        <f>ROUND(SUMIFS([1]Responses!$AB$2:$AB$4001,[1]Responses!$B$2:$B$4001,$A115),2)</f>
        <v>24.99</v>
      </c>
      <c r="S115" t="str">
        <f>IF(R115&gt;='[1]Reward Model'!$B$8,"Gold",IF(R115&gt;='[1]Reward Model'!$B$9,"Silver","Bronze"))</f>
        <v>Silver</v>
      </c>
      <c r="T115" s="2">
        <f>ROUND(R115/'[1]Reward Model'!$B$7*100,2)</f>
        <v>60.95</v>
      </c>
    </row>
    <row r="116" spans="1:20" x14ac:dyDescent="0.25">
      <c r="A116" t="s">
        <v>139</v>
      </c>
      <c r="B116" t="s">
        <v>120</v>
      </c>
      <c r="C116" t="s">
        <v>22</v>
      </c>
      <c r="D116">
        <f t="shared" si="4"/>
        <v>20</v>
      </c>
      <c r="E116" s="2">
        <f t="shared" si="5"/>
        <v>33.81</v>
      </c>
      <c r="F116">
        <f>COUNTIFS([1]Responses!$B$2:$B$4001,$A116)</f>
        <v>20</v>
      </c>
      <c r="G116">
        <f t="shared" si="7"/>
        <v>16</v>
      </c>
      <c r="H116">
        <f t="shared" si="7"/>
        <v>4</v>
      </c>
      <c r="I116">
        <f>COUNTIFS([1]Responses!$B$2:$B$4001,$A116,[1]Responses!$K$2:$K$4001,"High",[1]Responses!$I$2:$I$4001,"Correct")</f>
        <v>4</v>
      </c>
      <c r="J116">
        <f>COUNTIFS([1]Responses!$B$2:$B$4001,$A116,[1]Responses!$K$2:$K$4001,"High",[1]Responses!$I$2:$I$4001,"Wrong")</f>
        <v>1</v>
      </c>
      <c r="K116" s="2">
        <f>ROUND(SUMIFS([1]Responses!$J$2:$J$4001,[1]Responses!$B$2:$B$4001,$A116,[1]Responses!$K$2:$K$4001,"High"),2)</f>
        <v>8.7100000000000009</v>
      </c>
      <c r="L116">
        <f>COUNTIFS([1]Responses!$B$2:$B$4001,$A116,[1]Responses!$K$2:$K$4001,"Medium",[1]Responses!$I$2:$I$4001,"Correct")</f>
        <v>4</v>
      </c>
      <c r="M116">
        <f>COUNTIFS([1]Responses!$B$2:$B$4001,$A116,[1]Responses!$K$2:$K$4001,"Medium",[1]Responses!$I$2:$I$4001,"Wrong")</f>
        <v>2</v>
      </c>
      <c r="N116" s="2">
        <f>ROUND(SUMIFS([1]Responses!$J$2:$J$4001,[1]Responses!$B$2:$B$4001,$A116,[1]Responses!$K$2:$K$4001,"Medium"),2)</f>
        <v>10.32</v>
      </c>
      <c r="O116">
        <f>COUNTIFS([1]Responses!$B$2:$B$4001,$A116,[1]Responses!$K$2:$K$4001,"Low",[1]Responses!$I$2:$I$4001,"Correct")</f>
        <v>8</v>
      </c>
      <c r="P116">
        <f>COUNTIFS([1]Responses!$B$2:$B$4001,$A116,[1]Responses!$K$2:$K$4001,"Low",[1]Responses!$I$2:$I$4001,"Wrong")</f>
        <v>1</v>
      </c>
      <c r="Q116" s="2">
        <f>ROUND(SUMIFS([1]Responses!$J$2:$J$4001,[1]Responses!$B$2:$B$4001,$A116,[1]Responses!$K$2:$K$4001,"Low"),2)</f>
        <v>14.78</v>
      </c>
      <c r="R116" s="2">
        <f>ROUND(SUMIFS([1]Responses!$AB$2:$AB$4001,[1]Responses!$B$2:$B$4001,$A116),2)</f>
        <v>31.31</v>
      </c>
      <c r="S116" t="str">
        <f>IF(R116&gt;='[1]Reward Model'!$B$8,"Gold",IF(R116&gt;='[1]Reward Model'!$B$9,"Silver","Bronze"))</f>
        <v>Gold</v>
      </c>
      <c r="T116" s="2">
        <f>ROUND(R116/'[1]Reward Model'!$B$7*100,2)</f>
        <v>76.37</v>
      </c>
    </row>
    <row r="117" spans="1:20" x14ac:dyDescent="0.25">
      <c r="A117" t="s">
        <v>140</v>
      </c>
      <c r="B117" t="s">
        <v>120</v>
      </c>
      <c r="C117" t="s">
        <v>22</v>
      </c>
      <c r="D117">
        <f t="shared" si="4"/>
        <v>20</v>
      </c>
      <c r="E117" s="2">
        <f t="shared" si="5"/>
        <v>32.43</v>
      </c>
      <c r="F117">
        <f>COUNTIFS([1]Responses!$B$2:$B$4001,$A117)</f>
        <v>20</v>
      </c>
      <c r="G117">
        <f t="shared" si="7"/>
        <v>11</v>
      </c>
      <c r="H117">
        <f t="shared" si="7"/>
        <v>9</v>
      </c>
      <c r="I117">
        <f>COUNTIFS([1]Responses!$B$2:$B$4001,$A117,[1]Responses!$K$2:$K$4001,"High",[1]Responses!$I$2:$I$4001,"Correct")</f>
        <v>2</v>
      </c>
      <c r="J117">
        <f>COUNTIFS([1]Responses!$B$2:$B$4001,$A117,[1]Responses!$K$2:$K$4001,"High",[1]Responses!$I$2:$I$4001,"Wrong")</f>
        <v>3</v>
      </c>
      <c r="K117" s="2">
        <f>ROUND(SUMIFS([1]Responses!$J$2:$J$4001,[1]Responses!$B$2:$B$4001,$A117,[1]Responses!$K$2:$K$4001,"High"),2)</f>
        <v>9.48</v>
      </c>
      <c r="L117">
        <f>COUNTIFS([1]Responses!$B$2:$B$4001,$A117,[1]Responses!$K$2:$K$4001,"Medium",[1]Responses!$I$2:$I$4001,"Correct")</f>
        <v>2</v>
      </c>
      <c r="M117">
        <f>COUNTIFS([1]Responses!$B$2:$B$4001,$A117,[1]Responses!$K$2:$K$4001,"Medium",[1]Responses!$I$2:$I$4001,"Wrong")</f>
        <v>4</v>
      </c>
      <c r="N117" s="2">
        <f>ROUND(SUMIFS([1]Responses!$J$2:$J$4001,[1]Responses!$B$2:$B$4001,$A117,[1]Responses!$K$2:$K$4001,"Medium"),2)</f>
        <v>10.01</v>
      </c>
      <c r="O117">
        <f>COUNTIFS([1]Responses!$B$2:$B$4001,$A117,[1]Responses!$K$2:$K$4001,"Low",[1]Responses!$I$2:$I$4001,"Correct")</f>
        <v>7</v>
      </c>
      <c r="P117">
        <f>COUNTIFS([1]Responses!$B$2:$B$4001,$A117,[1]Responses!$K$2:$K$4001,"Low",[1]Responses!$I$2:$I$4001,"Wrong")</f>
        <v>2</v>
      </c>
      <c r="Q117" s="2">
        <f>ROUND(SUMIFS([1]Responses!$J$2:$J$4001,[1]Responses!$B$2:$B$4001,$A117,[1]Responses!$K$2:$K$4001,"Low"),2)</f>
        <v>12.94</v>
      </c>
      <c r="R117" s="2">
        <f>ROUND(SUMIFS([1]Responses!$AB$2:$AB$4001,[1]Responses!$B$2:$B$4001,$A117),2)</f>
        <v>19.73</v>
      </c>
      <c r="S117" t="str">
        <f>IF(R117&gt;='[1]Reward Model'!$B$8,"Gold",IF(R117&gt;='[1]Reward Model'!$B$9,"Silver","Bronze"))</f>
        <v>Bronze</v>
      </c>
      <c r="T117" s="2">
        <f>ROUND(R117/'[1]Reward Model'!$B$7*100,2)</f>
        <v>48.12</v>
      </c>
    </row>
    <row r="118" spans="1:20" x14ac:dyDescent="0.25">
      <c r="A118" t="s">
        <v>141</v>
      </c>
      <c r="B118" t="s">
        <v>120</v>
      </c>
      <c r="C118" t="s">
        <v>22</v>
      </c>
      <c r="D118">
        <f t="shared" si="4"/>
        <v>20</v>
      </c>
      <c r="E118" s="2">
        <f t="shared" si="5"/>
        <v>31.99</v>
      </c>
      <c r="F118">
        <f>COUNTIFS([1]Responses!$B$2:$B$4001,$A118)</f>
        <v>20</v>
      </c>
      <c r="G118">
        <f t="shared" si="7"/>
        <v>14</v>
      </c>
      <c r="H118">
        <f t="shared" si="7"/>
        <v>6</v>
      </c>
      <c r="I118">
        <f>COUNTIFS([1]Responses!$B$2:$B$4001,$A118,[1]Responses!$K$2:$K$4001,"High",[1]Responses!$I$2:$I$4001,"Correct")</f>
        <v>2</v>
      </c>
      <c r="J118">
        <f>COUNTIFS([1]Responses!$B$2:$B$4001,$A118,[1]Responses!$K$2:$K$4001,"High",[1]Responses!$I$2:$I$4001,"Wrong")</f>
        <v>3</v>
      </c>
      <c r="K118" s="2">
        <f>ROUND(SUMIFS([1]Responses!$J$2:$J$4001,[1]Responses!$B$2:$B$4001,$A118,[1]Responses!$K$2:$K$4001,"High"),2)</f>
        <v>8.4499999999999993</v>
      </c>
      <c r="L118">
        <f>COUNTIFS([1]Responses!$B$2:$B$4001,$A118,[1]Responses!$K$2:$K$4001,"Medium",[1]Responses!$I$2:$I$4001,"Correct")</f>
        <v>4</v>
      </c>
      <c r="M118">
        <f>COUNTIFS([1]Responses!$B$2:$B$4001,$A118,[1]Responses!$K$2:$K$4001,"Medium",[1]Responses!$I$2:$I$4001,"Wrong")</f>
        <v>2</v>
      </c>
      <c r="N118" s="2">
        <f>ROUND(SUMIFS([1]Responses!$J$2:$J$4001,[1]Responses!$B$2:$B$4001,$A118,[1]Responses!$K$2:$K$4001,"Medium"),2)</f>
        <v>10.210000000000001</v>
      </c>
      <c r="O118">
        <f>COUNTIFS([1]Responses!$B$2:$B$4001,$A118,[1]Responses!$K$2:$K$4001,"Low",[1]Responses!$I$2:$I$4001,"Correct")</f>
        <v>8</v>
      </c>
      <c r="P118">
        <f>COUNTIFS([1]Responses!$B$2:$B$4001,$A118,[1]Responses!$K$2:$K$4001,"Low",[1]Responses!$I$2:$I$4001,"Wrong")</f>
        <v>1</v>
      </c>
      <c r="Q118" s="2">
        <f>ROUND(SUMIFS([1]Responses!$J$2:$J$4001,[1]Responses!$B$2:$B$4001,$A118,[1]Responses!$K$2:$K$4001,"Low"),2)</f>
        <v>13.33</v>
      </c>
      <c r="R118" s="2">
        <f>ROUND(SUMIFS([1]Responses!$AB$2:$AB$4001,[1]Responses!$B$2:$B$4001,$A118),2)</f>
        <v>24.97</v>
      </c>
      <c r="S118" t="str">
        <f>IF(R118&gt;='[1]Reward Model'!$B$8,"Gold",IF(R118&gt;='[1]Reward Model'!$B$9,"Silver","Bronze"))</f>
        <v>Silver</v>
      </c>
      <c r="T118" s="2">
        <f>ROUND(R118/'[1]Reward Model'!$B$7*100,2)</f>
        <v>60.9</v>
      </c>
    </row>
    <row r="119" spans="1:20" x14ac:dyDescent="0.25">
      <c r="A119" t="s">
        <v>142</v>
      </c>
      <c r="B119" t="s">
        <v>120</v>
      </c>
      <c r="C119" t="s">
        <v>22</v>
      </c>
      <c r="D119">
        <f t="shared" si="4"/>
        <v>20</v>
      </c>
      <c r="E119" s="2">
        <f t="shared" si="5"/>
        <v>34.43</v>
      </c>
      <c r="F119">
        <f>COUNTIFS([1]Responses!$B$2:$B$4001,$A119)</f>
        <v>20</v>
      </c>
      <c r="G119">
        <f t="shared" si="7"/>
        <v>10</v>
      </c>
      <c r="H119">
        <f t="shared" si="7"/>
        <v>10</v>
      </c>
      <c r="I119">
        <f>COUNTIFS([1]Responses!$B$2:$B$4001,$A119,[1]Responses!$K$2:$K$4001,"High",[1]Responses!$I$2:$I$4001,"Correct")</f>
        <v>1</v>
      </c>
      <c r="J119">
        <f>COUNTIFS([1]Responses!$B$2:$B$4001,$A119,[1]Responses!$K$2:$K$4001,"High",[1]Responses!$I$2:$I$4001,"Wrong")</f>
        <v>4</v>
      </c>
      <c r="K119" s="2">
        <f>ROUND(SUMIFS([1]Responses!$J$2:$J$4001,[1]Responses!$B$2:$B$4001,$A119,[1]Responses!$K$2:$K$4001,"High"),2)</f>
        <v>9.0299999999999994</v>
      </c>
      <c r="L119">
        <f>COUNTIFS([1]Responses!$B$2:$B$4001,$A119,[1]Responses!$K$2:$K$4001,"Medium",[1]Responses!$I$2:$I$4001,"Correct")</f>
        <v>5</v>
      </c>
      <c r="M119">
        <f>COUNTIFS([1]Responses!$B$2:$B$4001,$A119,[1]Responses!$K$2:$K$4001,"Medium",[1]Responses!$I$2:$I$4001,"Wrong")</f>
        <v>1</v>
      </c>
      <c r="N119" s="2">
        <f>ROUND(SUMIFS([1]Responses!$J$2:$J$4001,[1]Responses!$B$2:$B$4001,$A119,[1]Responses!$K$2:$K$4001,"Medium"),2)</f>
        <v>11.63</v>
      </c>
      <c r="O119">
        <f>COUNTIFS([1]Responses!$B$2:$B$4001,$A119,[1]Responses!$K$2:$K$4001,"Low",[1]Responses!$I$2:$I$4001,"Correct")</f>
        <v>4</v>
      </c>
      <c r="P119">
        <f>COUNTIFS([1]Responses!$B$2:$B$4001,$A119,[1]Responses!$K$2:$K$4001,"Low",[1]Responses!$I$2:$I$4001,"Wrong")</f>
        <v>5</v>
      </c>
      <c r="Q119" s="2">
        <f>ROUND(SUMIFS([1]Responses!$J$2:$J$4001,[1]Responses!$B$2:$B$4001,$A119,[1]Responses!$K$2:$K$4001,"Low"),2)</f>
        <v>13.77</v>
      </c>
      <c r="R119" s="2">
        <f>ROUND(SUMIFS([1]Responses!$AB$2:$AB$4001,[1]Responses!$B$2:$B$4001,$A119),2)</f>
        <v>17.489999999999998</v>
      </c>
      <c r="S119" t="str">
        <f>IF(R119&gt;='[1]Reward Model'!$B$8,"Gold",IF(R119&gt;='[1]Reward Model'!$B$9,"Silver","Bronze"))</f>
        <v>Bronze</v>
      </c>
      <c r="T119" s="2">
        <f>ROUND(R119/'[1]Reward Model'!$B$7*100,2)</f>
        <v>42.66</v>
      </c>
    </row>
    <row r="120" spans="1:20" x14ac:dyDescent="0.25">
      <c r="A120" t="s">
        <v>143</v>
      </c>
      <c r="B120" t="s">
        <v>120</v>
      </c>
      <c r="C120" t="s">
        <v>22</v>
      </c>
      <c r="D120">
        <f t="shared" si="4"/>
        <v>20</v>
      </c>
      <c r="E120" s="2">
        <f t="shared" si="5"/>
        <v>35.340000000000003</v>
      </c>
      <c r="F120">
        <f>COUNTIFS([1]Responses!$B$2:$B$4001,$A120)</f>
        <v>20</v>
      </c>
      <c r="G120">
        <f t="shared" si="7"/>
        <v>13</v>
      </c>
      <c r="H120">
        <f t="shared" si="7"/>
        <v>7</v>
      </c>
      <c r="I120">
        <f>COUNTIFS([1]Responses!$B$2:$B$4001,$A120,[1]Responses!$K$2:$K$4001,"High",[1]Responses!$I$2:$I$4001,"Correct")</f>
        <v>1</v>
      </c>
      <c r="J120">
        <f>COUNTIFS([1]Responses!$B$2:$B$4001,$A120,[1]Responses!$K$2:$K$4001,"High",[1]Responses!$I$2:$I$4001,"Wrong")</f>
        <v>4</v>
      </c>
      <c r="K120" s="2">
        <f>ROUND(SUMIFS([1]Responses!$J$2:$J$4001,[1]Responses!$B$2:$B$4001,$A120,[1]Responses!$K$2:$K$4001,"High"),2)</f>
        <v>10.82</v>
      </c>
      <c r="L120">
        <f>COUNTIFS([1]Responses!$B$2:$B$4001,$A120,[1]Responses!$K$2:$K$4001,"Medium",[1]Responses!$I$2:$I$4001,"Correct")</f>
        <v>4</v>
      </c>
      <c r="M120">
        <f>COUNTIFS([1]Responses!$B$2:$B$4001,$A120,[1]Responses!$K$2:$K$4001,"Medium",[1]Responses!$I$2:$I$4001,"Wrong")</f>
        <v>2</v>
      </c>
      <c r="N120" s="2">
        <f>ROUND(SUMIFS([1]Responses!$J$2:$J$4001,[1]Responses!$B$2:$B$4001,$A120,[1]Responses!$K$2:$K$4001,"Medium"),2)</f>
        <v>10.15</v>
      </c>
      <c r="O120">
        <f>COUNTIFS([1]Responses!$B$2:$B$4001,$A120,[1]Responses!$K$2:$K$4001,"Low",[1]Responses!$I$2:$I$4001,"Correct")</f>
        <v>8</v>
      </c>
      <c r="P120">
        <f>COUNTIFS([1]Responses!$B$2:$B$4001,$A120,[1]Responses!$K$2:$K$4001,"Low",[1]Responses!$I$2:$I$4001,"Wrong")</f>
        <v>1</v>
      </c>
      <c r="Q120" s="2">
        <f>ROUND(SUMIFS([1]Responses!$J$2:$J$4001,[1]Responses!$B$2:$B$4001,$A120,[1]Responses!$K$2:$K$4001,"Low"),2)</f>
        <v>14.37</v>
      </c>
      <c r="R120" s="2">
        <f>ROUND(SUMIFS([1]Responses!$AB$2:$AB$4001,[1]Responses!$B$2:$B$4001,$A120),2)</f>
        <v>21.41</v>
      </c>
      <c r="S120" t="str">
        <f>IF(R120&gt;='[1]Reward Model'!$B$8,"Gold",IF(R120&gt;='[1]Reward Model'!$B$9,"Silver","Bronze"))</f>
        <v>Silver</v>
      </c>
      <c r="T120" s="2">
        <f>ROUND(R120/'[1]Reward Model'!$B$7*100,2)</f>
        <v>52.22</v>
      </c>
    </row>
    <row r="121" spans="1:20" x14ac:dyDescent="0.25">
      <c r="A121" t="s">
        <v>144</v>
      </c>
      <c r="B121" t="s">
        <v>120</v>
      </c>
      <c r="C121" t="s">
        <v>22</v>
      </c>
      <c r="D121">
        <f t="shared" si="4"/>
        <v>20</v>
      </c>
      <c r="E121" s="2">
        <f t="shared" si="5"/>
        <v>33.78</v>
      </c>
      <c r="F121">
        <f>COUNTIFS([1]Responses!$B$2:$B$4001,$A121)</f>
        <v>20</v>
      </c>
      <c r="G121">
        <f t="shared" si="7"/>
        <v>11</v>
      </c>
      <c r="H121">
        <f t="shared" si="7"/>
        <v>9</v>
      </c>
      <c r="I121">
        <f>COUNTIFS([1]Responses!$B$2:$B$4001,$A121,[1]Responses!$K$2:$K$4001,"High",[1]Responses!$I$2:$I$4001,"Correct")</f>
        <v>2</v>
      </c>
      <c r="J121">
        <f>COUNTIFS([1]Responses!$B$2:$B$4001,$A121,[1]Responses!$K$2:$K$4001,"High",[1]Responses!$I$2:$I$4001,"Wrong")</f>
        <v>3</v>
      </c>
      <c r="K121" s="2">
        <f>ROUND(SUMIFS([1]Responses!$J$2:$J$4001,[1]Responses!$B$2:$B$4001,$A121,[1]Responses!$K$2:$K$4001,"High"),2)</f>
        <v>9.23</v>
      </c>
      <c r="L121">
        <f>COUNTIFS([1]Responses!$B$2:$B$4001,$A121,[1]Responses!$K$2:$K$4001,"Medium",[1]Responses!$I$2:$I$4001,"Correct")</f>
        <v>4</v>
      </c>
      <c r="M121">
        <f>COUNTIFS([1]Responses!$B$2:$B$4001,$A121,[1]Responses!$K$2:$K$4001,"Medium",[1]Responses!$I$2:$I$4001,"Wrong")</f>
        <v>2</v>
      </c>
      <c r="N121" s="2">
        <f>ROUND(SUMIFS([1]Responses!$J$2:$J$4001,[1]Responses!$B$2:$B$4001,$A121,[1]Responses!$K$2:$K$4001,"Medium"),2)</f>
        <v>10.58</v>
      </c>
      <c r="O121">
        <f>COUNTIFS([1]Responses!$B$2:$B$4001,$A121,[1]Responses!$K$2:$K$4001,"Low",[1]Responses!$I$2:$I$4001,"Correct")</f>
        <v>5</v>
      </c>
      <c r="P121">
        <f>COUNTIFS([1]Responses!$B$2:$B$4001,$A121,[1]Responses!$K$2:$K$4001,"Low",[1]Responses!$I$2:$I$4001,"Wrong")</f>
        <v>4</v>
      </c>
      <c r="Q121" s="2">
        <f>ROUND(SUMIFS([1]Responses!$J$2:$J$4001,[1]Responses!$B$2:$B$4001,$A121,[1]Responses!$K$2:$K$4001,"Low"),2)</f>
        <v>13.97</v>
      </c>
      <c r="R121" s="2">
        <f>ROUND(SUMIFS([1]Responses!$AB$2:$AB$4001,[1]Responses!$B$2:$B$4001,$A121),2)</f>
        <v>20.62</v>
      </c>
      <c r="S121" t="str">
        <f>IF(R121&gt;='[1]Reward Model'!$B$8,"Gold",IF(R121&gt;='[1]Reward Model'!$B$9,"Silver","Bronze"))</f>
        <v>Silver</v>
      </c>
      <c r="T121" s="2">
        <f>ROUND(R121/'[1]Reward Model'!$B$7*100,2)</f>
        <v>50.29</v>
      </c>
    </row>
    <row r="122" spans="1:20" x14ac:dyDescent="0.25">
      <c r="A122" t="s">
        <v>145</v>
      </c>
      <c r="B122" t="s">
        <v>120</v>
      </c>
      <c r="C122" t="s">
        <v>22</v>
      </c>
      <c r="D122">
        <f t="shared" si="4"/>
        <v>20</v>
      </c>
      <c r="E122" s="2">
        <f t="shared" si="5"/>
        <v>32.75</v>
      </c>
      <c r="F122">
        <f>COUNTIFS([1]Responses!$B$2:$B$4001,$A122)</f>
        <v>20</v>
      </c>
      <c r="G122">
        <f t="shared" si="7"/>
        <v>15</v>
      </c>
      <c r="H122">
        <f t="shared" si="7"/>
        <v>5</v>
      </c>
      <c r="I122">
        <f>COUNTIFS([1]Responses!$B$2:$B$4001,$A122,[1]Responses!$K$2:$K$4001,"High",[1]Responses!$I$2:$I$4001,"Correct")</f>
        <v>3</v>
      </c>
      <c r="J122">
        <f>COUNTIFS([1]Responses!$B$2:$B$4001,$A122,[1]Responses!$K$2:$K$4001,"High",[1]Responses!$I$2:$I$4001,"Wrong")</f>
        <v>2</v>
      </c>
      <c r="K122" s="2">
        <f>ROUND(SUMIFS([1]Responses!$J$2:$J$4001,[1]Responses!$B$2:$B$4001,$A122,[1]Responses!$K$2:$K$4001,"High"),2)</f>
        <v>9.9</v>
      </c>
      <c r="L122">
        <f>COUNTIFS([1]Responses!$B$2:$B$4001,$A122,[1]Responses!$K$2:$K$4001,"Medium",[1]Responses!$I$2:$I$4001,"Correct")</f>
        <v>4</v>
      </c>
      <c r="M122">
        <f>COUNTIFS([1]Responses!$B$2:$B$4001,$A122,[1]Responses!$K$2:$K$4001,"Medium",[1]Responses!$I$2:$I$4001,"Wrong")</f>
        <v>2</v>
      </c>
      <c r="N122" s="2">
        <f>ROUND(SUMIFS([1]Responses!$J$2:$J$4001,[1]Responses!$B$2:$B$4001,$A122,[1]Responses!$K$2:$K$4001,"Medium"),2)</f>
        <v>9.73</v>
      </c>
      <c r="O122">
        <f>COUNTIFS([1]Responses!$B$2:$B$4001,$A122,[1]Responses!$K$2:$K$4001,"Low",[1]Responses!$I$2:$I$4001,"Correct")</f>
        <v>8</v>
      </c>
      <c r="P122">
        <f>COUNTIFS([1]Responses!$B$2:$B$4001,$A122,[1]Responses!$K$2:$K$4001,"Low",[1]Responses!$I$2:$I$4001,"Wrong")</f>
        <v>1</v>
      </c>
      <c r="Q122" s="2">
        <f>ROUND(SUMIFS([1]Responses!$J$2:$J$4001,[1]Responses!$B$2:$B$4001,$A122,[1]Responses!$K$2:$K$4001,"Low"),2)</f>
        <v>13.12</v>
      </c>
      <c r="R122" s="2">
        <f>ROUND(SUMIFS([1]Responses!$AB$2:$AB$4001,[1]Responses!$B$2:$B$4001,$A122),2)</f>
        <v>28.54</v>
      </c>
      <c r="S122" t="str">
        <f>IF(R122&gt;='[1]Reward Model'!$B$8,"Gold",IF(R122&gt;='[1]Reward Model'!$B$9,"Silver","Bronze"))</f>
        <v>Silver</v>
      </c>
      <c r="T122" s="2">
        <f>ROUND(R122/'[1]Reward Model'!$B$7*100,2)</f>
        <v>69.61</v>
      </c>
    </row>
    <row r="123" spans="1:20" x14ac:dyDescent="0.25">
      <c r="A123" t="s">
        <v>146</v>
      </c>
      <c r="B123" t="s">
        <v>120</v>
      </c>
      <c r="C123" t="s">
        <v>22</v>
      </c>
      <c r="D123">
        <f t="shared" si="4"/>
        <v>20</v>
      </c>
      <c r="E123" s="2">
        <f t="shared" si="5"/>
        <v>33.549999999999997</v>
      </c>
      <c r="F123">
        <f>COUNTIFS([1]Responses!$B$2:$B$4001,$A123)</f>
        <v>20</v>
      </c>
      <c r="G123">
        <f t="shared" si="7"/>
        <v>17</v>
      </c>
      <c r="H123">
        <f t="shared" si="7"/>
        <v>3</v>
      </c>
      <c r="I123">
        <f>COUNTIFS([1]Responses!$B$2:$B$4001,$A123,[1]Responses!$K$2:$K$4001,"High",[1]Responses!$I$2:$I$4001,"Correct")</f>
        <v>4</v>
      </c>
      <c r="J123">
        <f>COUNTIFS([1]Responses!$B$2:$B$4001,$A123,[1]Responses!$K$2:$K$4001,"High",[1]Responses!$I$2:$I$4001,"Wrong")</f>
        <v>1</v>
      </c>
      <c r="K123" s="2">
        <f>ROUND(SUMIFS([1]Responses!$J$2:$J$4001,[1]Responses!$B$2:$B$4001,$A123,[1]Responses!$K$2:$K$4001,"High"),2)</f>
        <v>10.19</v>
      </c>
      <c r="L123">
        <f>COUNTIFS([1]Responses!$B$2:$B$4001,$A123,[1]Responses!$K$2:$K$4001,"Medium",[1]Responses!$I$2:$I$4001,"Correct")</f>
        <v>5</v>
      </c>
      <c r="M123">
        <f>COUNTIFS([1]Responses!$B$2:$B$4001,$A123,[1]Responses!$K$2:$K$4001,"Medium",[1]Responses!$I$2:$I$4001,"Wrong")</f>
        <v>1</v>
      </c>
      <c r="N123" s="2">
        <f>ROUND(SUMIFS([1]Responses!$J$2:$J$4001,[1]Responses!$B$2:$B$4001,$A123,[1]Responses!$K$2:$K$4001,"Medium"),2)</f>
        <v>9.57</v>
      </c>
      <c r="O123">
        <f>COUNTIFS([1]Responses!$B$2:$B$4001,$A123,[1]Responses!$K$2:$K$4001,"Low",[1]Responses!$I$2:$I$4001,"Correct")</f>
        <v>8</v>
      </c>
      <c r="P123">
        <f>COUNTIFS([1]Responses!$B$2:$B$4001,$A123,[1]Responses!$K$2:$K$4001,"Low",[1]Responses!$I$2:$I$4001,"Wrong")</f>
        <v>1</v>
      </c>
      <c r="Q123" s="2">
        <f>ROUND(SUMIFS([1]Responses!$J$2:$J$4001,[1]Responses!$B$2:$B$4001,$A123,[1]Responses!$K$2:$K$4001,"Low"),2)</f>
        <v>13.79</v>
      </c>
      <c r="R123" s="2">
        <f>ROUND(SUMIFS([1]Responses!$AB$2:$AB$4001,[1]Responses!$B$2:$B$4001,$A123),2)</f>
        <v>31.47</v>
      </c>
      <c r="S123" t="str">
        <f>IF(R123&gt;='[1]Reward Model'!$B$8,"Gold",IF(R123&gt;='[1]Reward Model'!$B$9,"Silver","Bronze"))</f>
        <v>Gold</v>
      </c>
      <c r="T123" s="2">
        <f>ROUND(R123/'[1]Reward Model'!$B$7*100,2)</f>
        <v>76.760000000000005</v>
      </c>
    </row>
    <row r="124" spans="1:20" x14ac:dyDescent="0.25">
      <c r="A124" t="s">
        <v>147</v>
      </c>
      <c r="B124" t="s">
        <v>120</v>
      </c>
      <c r="C124" t="s">
        <v>22</v>
      </c>
      <c r="D124">
        <f t="shared" si="4"/>
        <v>20</v>
      </c>
      <c r="E124" s="2">
        <f t="shared" si="5"/>
        <v>31.14</v>
      </c>
      <c r="F124">
        <f>COUNTIFS([1]Responses!$B$2:$B$4001,$A124)</f>
        <v>20</v>
      </c>
      <c r="G124">
        <f t="shared" si="7"/>
        <v>14</v>
      </c>
      <c r="H124">
        <f t="shared" si="7"/>
        <v>6</v>
      </c>
      <c r="I124">
        <f>COUNTIFS([1]Responses!$B$2:$B$4001,$A124,[1]Responses!$K$2:$K$4001,"High",[1]Responses!$I$2:$I$4001,"Correct")</f>
        <v>2</v>
      </c>
      <c r="J124">
        <f>COUNTIFS([1]Responses!$B$2:$B$4001,$A124,[1]Responses!$K$2:$K$4001,"High",[1]Responses!$I$2:$I$4001,"Wrong")</f>
        <v>3</v>
      </c>
      <c r="K124" s="2">
        <f>ROUND(SUMIFS([1]Responses!$J$2:$J$4001,[1]Responses!$B$2:$B$4001,$A124,[1]Responses!$K$2:$K$4001,"High"),2)</f>
        <v>8.8000000000000007</v>
      </c>
      <c r="L124">
        <f>COUNTIFS([1]Responses!$B$2:$B$4001,$A124,[1]Responses!$K$2:$K$4001,"Medium",[1]Responses!$I$2:$I$4001,"Correct")</f>
        <v>4</v>
      </c>
      <c r="M124">
        <f>COUNTIFS([1]Responses!$B$2:$B$4001,$A124,[1]Responses!$K$2:$K$4001,"Medium",[1]Responses!$I$2:$I$4001,"Wrong")</f>
        <v>2</v>
      </c>
      <c r="N124" s="2">
        <f>ROUND(SUMIFS([1]Responses!$J$2:$J$4001,[1]Responses!$B$2:$B$4001,$A124,[1]Responses!$K$2:$K$4001,"Medium"),2)</f>
        <v>10.46</v>
      </c>
      <c r="O124">
        <f>COUNTIFS([1]Responses!$B$2:$B$4001,$A124,[1]Responses!$K$2:$K$4001,"Low",[1]Responses!$I$2:$I$4001,"Correct")</f>
        <v>8</v>
      </c>
      <c r="P124">
        <f>COUNTIFS([1]Responses!$B$2:$B$4001,$A124,[1]Responses!$K$2:$K$4001,"Low",[1]Responses!$I$2:$I$4001,"Wrong")</f>
        <v>1</v>
      </c>
      <c r="Q124" s="2">
        <f>ROUND(SUMIFS([1]Responses!$J$2:$J$4001,[1]Responses!$B$2:$B$4001,$A124,[1]Responses!$K$2:$K$4001,"Low"),2)</f>
        <v>11.88</v>
      </c>
      <c r="R124" s="2">
        <f>ROUND(SUMIFS([1]Responses!$AB$2:$AB$4001,[1]Responses!$B$2:$B$4001,$A124),2)</f>
        <v>26.14</v>
      </c>
      <c r="S124" t="str">
        <f>IF(R124&gt;='[1]Reward Model'!$B$8,"Gold",IF(R124&gt;='[1]Reward Model'!$B$9,"Silver","Bronze"))</f>
        <v>Silver</v>
      </c>
      <c r="T124" s="2">
        <f>ROUND(R124/'[1]Reward Model'!$B$7*100,2)</f>
        <v>63.76</v>
      </c>
    </row>
    <row r="125" spans="1:20" x14ac:dyDescent="0.25">
      <c r="A125" t="s">
        <v>148</v>
      </c>
      <c r="B125" t="s">
        <v>120</v>
      </c>
      <c r="C125" t="s">
        <v>22</v>
      </c>
      <c r="D125">
        <f t="shared" si="4"/>
        <v>20</v>
      </c>
      <c r="E125" s="2">
        <f t="shared" si="5"/>
        <v>31.12</v>
      </c>
      <c r="F125">
        <f>COUNTIFS([1]Responses!$B$2:$B$4001,$A125)</f>
        <v>20</v>
      </c>
      <c r="G125">
        <f t="shared" si="7"/>
        <v>12</v>
      </c>
      <c r="H125">
        <f t="shared" si="7"/>
        <v>8</v>
      </c>
      <c r="I125">
        <f>COUNTIFS([1]Responses!$B$2:$B$4001,$A125,[1]Responses!$K$2:$K$4001,"High",[1]Responses!$I$2:$I$4001,"Correct")</f>
        <v>2</v>
      </c>
      <c r="J125">
        <f>COUNTIFS([1]Responses!$B$2:$B$4001,$A125,[1]Responses!$K$2:$K$4001,"High",[1]Responses!$I$2:$I$4001,"Wrong")</f>
        <v>3</v>
      </c>
      <c r="K125" s="2">
        <f>ROUND(SUMIFS([1]Responses!$J$2:$J$4001,[1]Responses!$B$2:$B$4001,$A125,[1]Responses!$K$2:$K$4001,"High"),2)</f>
        <v>8.56</v>
      </c>
      <c r="L125">
        <f>COUNTIFS([1]Responses!$B$2:$B$4001,$A125,[1]Responses!$K$2:$K$4001,"Medium",[1]Responses!$I$2:$I$4001,"Correct")</f>
        <v>2</v>
      </c>
      <c r="M125">
        <f>COUNTIFS([1]Responses!$B$2:$B$4001,$A125,[1]Responses!$K$2:$K$4001,"Medium",[1]Responses!$I$2:$I$4001,"Wrong")</f>
        <v>4</v>
      </c>
      <c r="N125" s="2">
        <f>ROUND(SUMIFS([1]Responses!$J$2:$J$4001,[1]Responses!$B$2:$B$4001,$A125,[1]Responses!$K$2:$K$4001,"Medium"),2)</f>
        <v>8.92</v>
      </c>
      <c r="O125">
        <f>COUNTIFS([1]Responses!$B$2:$B$4001,$A125,[1]Responses!$K$2:$K$4001,"Low",[1]Responses!$I$2:$I$4001,"Correct")</f>
        <v>8</v>
      </c>
      <c r="P125">
        <f>COUNTIFS([1]Responses!$B$2:$B$4001,$A125,[1]Responses!$K$2:$K$4001,"Low",[1]Responses!$I$2:$I$4001,"Wrong")</f>
        <v>1</v>
      </c>
      <c r="Q125" s="2">
        <f>ROUND(SUMIFS([1]Responses!$J$2:$J$4001,[1]Responses!$B$2:$B$4001,$A125,[1]Responses!$K$2:$K$4001,"Low"),2)</f>
        <v>13.64</v>
      </c>
      <c r="R125" s="2">
        <f>ROUND(SUMIFS([1]Responses!$AB$2:$AB$4001,[1]Responses!$B$2:$B$4001,$A125),2)</f>
        <v>20.97</v>
      </c>
      <c r="S125" t="str">
        <f>IF(R125&gt;='[1]Reward Model'!$B$8,"Gold",IF(R125&gt;='[1]Reward Model'!$B$9,"Silver","Bronze"))</f>
        <v>Silver</v>
      </c>
      <c r="T125" s="2">
        <f>ROUND(R125/'[1]Reward Model'!$B$7*100,2)</f>
        <v>51.15</v>
      </c>
    </row>
    <row r="126" spans="1:20" x14ac:dyDescent="0.25">
      <c r="A126" t="s">
        <v>149</v>
      </c>
      <c r="B126" t="s">
        <v>120</v>
      </c>
      <c r="C126" t="s">
        <v>22</v>
      </c>
      <c r="D126">
        <f t="shared" si="4"/>
        <v>20</v>
      </c>
      <c r="E126" s="2">
        <f t="shared" si="5"/>
        <v>31.96</v>
      </c>
      <c r="F126">
        <f>COUNTIFS([1]Responses!$B$2:$B$4001,$A126)</f>
        <v>20</v>
      </c>
      <c r="G126">
        <f t="shared" si="7"/>
        <v>14</v>
      </c>
      <c r="H126">
        <f t="shared" si="7"/>
        <v>6</v>
      </c>
      <c r="I126">
        <f>COUNTIFS([1]Responses!$B$2:$B$4001,$A126,[1]Responses!$K$2:$K$4001,"High",[1]Responses!$I$2:$I$4001,"Correct")</f>
        <v>3</v>
      </c>
      <c r="J126">
        <f>COUNTIFS([1]Responses!$B$2:$B$4001,$A126,[1]Responses!$K$2:$K$4001,"High",[1]Responses!$I$2:$I$4001,"Wrong")</f>
        <v>2</v>
      </c>
      <c r="K126" s="2">
        <f>ROUND(SUMIFS([1]Responses!$J$2:$J$4001,[1]Responses!$B$2:$B$4001,$A126,[1]Responses!$K$2:$K$4001,"High"),2)</f>
        <v>8.4499999999999993</v>
      </c>
      <c r="L126">
        <f>COUNTIFS([1]Responses!$B$2:$B$4001,$A126,[1]Responses!$K$2:$K$4001,"Medium",[1]Responses!$I$2:$I$4001,"Correct")</f>
        <v>4</v>
      </c>
      <c r="M126">
        <f>COUNTIFS([1]Responses!$B$2:$B$4001,$A126,[1]Responses!$K$2:$K$4001,"Medium",[1]Responses!$I$2:$I$4001,"Wrong")</f>
        <v>2</v>
      </c>
      <c r="N126" s="2">
        <f>ROUND(SUMIFS([1]Responses!$J$2:$J$4001,[1]Responses!$B$2:$B$4001,$A126,[1]Responses!$K$2:$K$4001,"Medium"),2)</f>
        <v>9.86</v>
      </c>
      <c r="O126">
        <f>COUNTIFS([1]Responses!$B$2:$B$4001,$A126,[1]Responses!$K$2:$K$4001,"Low",[1]Responses!$I$2:$I$4001,"Correct")</f>
        <v>7</v>
      </c>
      <c r="P126">
        <f>COUNTIFS([1]Responses!$B$2:$B$4001,$A126,[1]Responses!$K$2:$K$4001,"Low",[1]Responses!$I$2:$I$4001,"Wrong")</f>
        <v>2</v>
      </c>
      <c r="Q126" s="2">
        <f>ROUND(SUMIFS([1]Responses!$J$2:$J$4001,[1]Responses!$B$2:$B$4001,$A126,[1]Responses!$K$2:$K$4001,"Low"),2)</f>
        <v>13.65</v>
      </c>
      <c r="R126" s="2">
        <f>ROUND(SUMIFS([1]Responses!$AB$2:$AB$4001,[1]Responses!$B$2:$B$4001,$A126),2)</f>
        <v>25.52</v>
      </c>
      <c r="S126" t="str">
        <f>IF(R126&gt;='[1]Reward Model'!$B$8,"Gold",IF(R126&gt;='[1]Reward Model'!$B$9,"Silver","Bronze"))</f>
        <v>Silver</v>
      </c>
      <c r="T126" s="2">
        <f>ROUND(R126/'[1]Reward Model'!$B$7*100,2)</f>
        <v>62.24</v>
      </c>
    </row>
    <row r="127" spans="1:20" x14ac:dyDescent="0.25">
      <c r="A127" t="s">
        <v>150</v>
      </c>
      <c r="B127" t="s">
        <v>120</v>
      </c>
      <c r="C127" t="s">
        <v>22</v>
      </c>
      <c r="D127">
        <f t="shared" si="4"/>
        <v>20</v>
      </c>
      <c r="E127" s="2">
        <f t="shared" si="5"/>
        <v>30.58</v>
      </c>
      <c r="F127">
        <f>COUNTIFS([1]Responses!$B$2:$B$4001,$A127)</f>
        <v>20</v>
      </c>
      <c r="G127">
        <f t="shared" si="7"/>
        <v>14</v>
      </c>
      <c r="H127">
        <f t="shared" si="7"/>
        <v>6</v>
      </c>
      <c r="I127">
        <f>COUNTIFS([1]Responses!$B$2:$B$4001,$A127,[1]Responses!$K$2:$K$4001,"High",[1]Responses!$I$2:$I$4001,"Correct")</f>
        <v>2</v>
      </c>
      <c r="J127">
        <f>COUNTIFS([1]Responses!$B$2:$B$4001,$A127,[1]Responses!$K$2:$K$4001,"High",[1]Responses!$I$2:$I$4001,"Wrong")</f>
        <v>3</v>
      </c>
      <c r="K127" s="2">
        <f>ROUND(SUMIFS([1]Responses!$J$2:$J$4001,[1]Responses!$B$2:$B$4001,$A127,[1]Responses!$K$2:$K$4001,"High"),2)</f>
        <v>9.01</v>
      </c>
      <c r="L127">
        <f>COUNTIFS([1]Responses!$B$2:$B$4001,$A127,[1]Responses!$K$2:$K$4001,"Medium",[1]Responses!$I$2:$I$4001,"Correct")</f>
        <v>5</v>
      </c>
      <c r="M127">
        <f>COUNTIFS([1]Responses!$B$2:$B$4001,$A127,[1]Responses!$K$2:$K$4001,"Medium",[1]Responses!$I$2:$I$4001,"Wrong")</f>
        <v>1</v>
      </c>
      <c r="N127" s="2">
        <f>ROUND(SUMIFS([1]Responses!$J$2:$J$4001,[1]Responses!$B$2:$B$4001,$A127,[1]Responses!$K$2:$K$4001,"Medium"),2)</f>
        <v>9.3800000000000008</v>
      </c>
      <c r="O127">
        <f>COUNTIFS([1]Responses!$B$2:$B$4001,$A127,[1]Responses!$K$2:$K$4001,"Low",[1]Responses!$I$2:$I$4001,"Correct")</f>
        <v>7</v>
      </c>
      <c r="P127">
        <f>COUNTIFS([1]Responses!$B$2:$B$4001,$A127,[1]Responses!$K$2:$K$4001,"Low",[1]Responses!$I$2:$I$4001,"Wrong")</f>
        <v>2</v>
      </c>
      <c r="Q127" s="2">
        <f>ROUND(SUMIFS([1]Responses!$J$2:$J$4001,[1]Responses!$B$2:$B$4001,$A127,[1]Responses!$K$2:$K$4001,"Low"),2)</f>
        <v>12.19</v>
      </c>
      <c r="R127" s="2">
        <f>ROUND(SUMIFS([1]Responses!$AB$2:$AB$4001,[1]Responses!$B$2:$B$4001,$A127),2)</f>
        <v>26.75</v>
      </c>
      <c r="S127" t="str">
        <f>IF(R127&gt;='[1]Reward Model'!$B$8,"Gold",IF(R127&gt;='[1]Reward Model'!$B$9,"Silver","Bronze"))</f>
        <v>Silver</v>
      </c>
      <c r="T127" s="2">
        <f>ROUND(R127/'[1]Reward Model'!$B$7*100,2)</f>
        <v>65.239999999999995</v>
      </c>
    </row>
    <row r="128" spans="1:20" x14ac:dyDescent="0.25">
      <c r="A128" t="s">
        <v>151</v>
      </c>
      <c r="B128" t="s">
        <v>120</v>
      </c>
      <c r="C128" t="s">
        <v>22</v>
      </c>
      <c r="D128">
        <f t="shared" si="4"/>
        <v>20</v>
      </c>
      <c r="E128" s="2">
        <f t="shared" si="5"/>
        <v>30.58</v>
      </c>
      <c r="F128">
        <f>COUNTIFS([1]Responses!$B$2:$B$4001,$A128)</f>
        <v>20</v>
      </c>
      <c r="G128">
        <f t="shared" si="7"/>
        <v>16</v>
      </c>
      <c r="H128">
        <f t="shared" si="7"/>
        <v>4</v>
      </c>
      <c r="I128">
        <f>COUNTIFS([1]Responses!$B$2:$B$4001,$A128,[1]Responses!$K$2:$K$4001,"High",[1]Responses!$I$2:$I$4001,"Correct")</f>
        <v>3</v>
      </c>
      <c r="J128">
        <f>COUNTIFS([1]Responses!$B$2:$B$4001,$A128,[1]Responses!$K$2:$K$4001,"High",[1]Responses!$I$2:$I$4001,"Wrong")</f>
        <v>2</v>
      </c>
      <c r="K128" s="2">
        <f>ROUND(SUMIFS([1]Responses!$J$2:$J$4001,[1]Responses!$B$2:$B$4001,$A128,[1]Responses!$K$2:$K$4001,"High"),2)</f>
        <v>7.25</v>
      </c>
      <c r="L128">
        <f>COUNTIFS([1]Responses!$B$2:$B$4001,$A128,[1]Responses!$K$2:$K$4001,"Medium",[1]Responses!$I$2:$I$4001,"Correct")</f>
        <v>5</v>
      </c>
      <c r="M128">
        <f>COUNTIFS([1]Responses!$B$2:$B$4001,$A128,[1]Responses!$K$2:$K$4001,"Medium",[1]Responses!$I$2:$I$4001,"Wrong")</f>
        <v>1</v>
      </c>
      <c r="N128" s="2">
        <f>ROUND(SUMIFS([1]Responses!$J$2:$J$4001,[1]Responses!$B$2:$B$4001,$A128,[1]Responses!$K$2:$K$4001,"Medium"),2)</f>
        <v>10.52</v>
      </c>
      <c r="O128">
        <f>COUNTIFS([1]Responses!$B$2:$B$4001,$A128,[1]Responses!$K$2:$K$4001,"Low",[1]Responses!$I$2:$I$4001,"Correct")</f>
        <v>8</v>
      </c>
      <c r="P128">
        <f>COUNTIFS([1]Responses!$B$2:$B$4001,$A128,[1]Responses!$K$2:$K$4001,"Low",[1]Responses!$I$2:$I$4001,"Wrong")</f>
        <v>1</v>
      </c>
      <c r="Q128" s="2">
        <f>ROUND(SUMIFS([1]Responses!$J$2:$J$4001,[1]Responses!$B$2:$B$4001,$A128,[1]Responses!$K$2:$K$4001,"Low"),2)</f>
        <v>12.81</v>
      </c>
      <c r="R128" s="2">
        <f>ROUND(SUMIFS([1]Responses!$AB$2:$AB$4001,[1]Responses!$B$2:$B$4001,$A128),2)</f>
        <v>30.83</v>
      </c>
      <c r="S128" t="str">
        <f>IF(R128&gt;='[1]Reward Model'!$B$8,"Gold",IF(R128&gt;='[1]Reward Model'!$B$9,"Silver","Bronze"))</f>
        <v>Gold</v>
      </c>
      <c r="T128" s="2">
        <f>ROUND(R128/'[1]Reward Model'!$B$7*100,2)</f>
        <v>75.2</v>
      </c>
    </row>
    <row r="129" spans="1:20" x14ac:dyDescent="0.25">
      <c r="A129" t="s">
        <v>152</v>
      </c>
      <c r="B129" t="s">
        <v>120</v>
      </c>
      <c r="C129" t="s">
        <v>22</v>
      </c>
      <c r="D129">
        <f t="shared" si="4"/>
        <v>20</v>
      </c>
      <c r="E129" s="2">
        <f t="shared" si="5"/>
        <v>34.799999999999997</v>
      </c>
      <c r="F129">
        <f>COUNTIFS([1]Responses!$B$2:$B$4001,$A129)</f>
        <v>20</v>
      </c>
      <c r="G129">
        <f t="shared" si="7"/>
        <v>12</v>
      </c>
      <c r="H129">
        <f t="shared" si="7"/>
        <v>8</v>
      </c>
      <c r="I129">
        <f>COUNTIFS([1]Responses!$B$2:$B$4001,$A129,[1]Responses!$K$2:$K$4001,"High",[1]Responses!$I$2:$I$4001,"Correct")</f>
        <v>1</v>
      </c>
      <c r="J129">
        <f>COUNTIFS([1]Responses!$B$2:$B$4001,$A129,[1]Responses!$K$2:$K$4001,"High",[1]Responses!$I$2:$I$4001,"Wrong")</f>
        <v>4</v>
      </c>
      <c r="K129" s="2">
        <f>ROUND(SUMIFS([1]Responses!$J$2:$J$4001,[1]Responses!$B$2:$B$4001,$A129,[1]Responses!$K$2:$K$4001,"High"),2)</f>
        <v>11.1</v>
      </c>
      <c r="L129">
        <f>COUNTIFS([1]Responses!$B$2:$B$4001,$A129,[1]Responses!$K$2:$K$4001,"Medium",[1]Responses!$I$2:$I$4001,"Correct")</f>
        <v>3</v>
      </c>
      <c r="M129">
        <f>COUNTIFS([1]Responses!$B$2:$B$4001,$A129,[1]Responses!$K$2:$K$4001,"Medium",[1]Responses!$I$2:$I$4001,"Wrong")</f>
        <v>3</v>
      </c>
      <c r="N129" s="2">
        <f>ROUND(SUMIFS([1]Responses!$J$2:$J$4001,[1]Responses!$B$2:$B$4001,$A129,[1]Responses!$K$2:$K$4001,"Medium"),2)</f>
        <v>9.7799999999999994</v>
      </c>
      <c r="O129">
        <f>COUNTIFS([1]Responses!$B$2:$B$4001,$A129,[1]Responses!$K$2:$K$4001,"Low",[1]Responses!$I$2:$I$4001,"Correct")</f>
        <v>8</v>
      </c>
      <c r="P129">
        <f>COUNTIFS([1]Responses!$B$2:$B$4001,$A129,[1]Responses!$K$2:$K$4001,"Low",[1]Responses!$I$2:$I$4001,"Wrong")</f>
        <v>1</v>
      </c>
      <c r="Q129" s="2">
        <f>ROUND(SUMIFS([1]Responses!$J$2:$J$4001,[1]Responses!$B$2:$B$4001,$A129,[1]Responses!$K$2:$K$4001,"Low"),2)</f>
        <v>13.92</v>
      </c>
      <c r="R129" s="2">
        <f>ROUND(SUMIFS([1]Responses!$AB$2:$AB$4001,[1]Responses!$B$2:$B$4001,$A129),2)</f>
        <v>19.38</v>
      </c>
      <c r="S129" t="str">
        <f>IF(R129&gt;='[1]Reward Model'!$B$8,"Gold",IF(R129&gt;='[1]Reward Model'!$B$9,"Silver","Bronze"))</f>
        <v>Bronze</v>
      </c>
      <c r="T129" s="2">
        <f>ROUND(R129/'[1]Reward Model'!$B$7*100,2)</f>
        <v>47.27</v>
      </c>
    </row>
    <row r="130" spans="1:20" x14ac:dyDescent="0.25">
      <c r="A130" t="s">
        <v>153</v>
      </c>
      <c r="B130" t="s">
        <v>120</v>
      </c>
      <c r="C130" t="s">
        <v>22</v>
      </c>
      <c r="D130">
        <f t="shared" ref="D130:D193" si="8">F130</f>
        <v>20</v>
      </c>
      <c r="E130" s="2">
        <f t="shared" ref="E130:E193" si="9">ROUND(K130+N130+Q130,2)</f>
        <v>37.01</v>
      </c>
      <c r="F130">
        <f>COUNTIFS([1]Responses!$B$2:$B$4001,$A130)</f>
        <v>20</v>
      </c>
      <c r="G130">
        <f t="shared" ref="G130:H161" si="10">I130+L130+O130</f>
        <v>16</v>
      </c>
      <c r="H130">
        <f t="shared" si="10"/>
        <v>4</v>
      </c>
      <c r="I130">
        <f>COUNTIFS([1]Responses!$B$2:$B$4001,$A130,[1]Responses!$K$2:$K$4001,"High",[1]Responses!$I$2:$I$4001,"Correct")</f>
        <v>3</v>
      </c>
      <c r="J130">
        <f>COUNTIFS([1]Responses!$B$2:$B$4001,$A130,[1]Responses!$K$2:$K$4001,"High",[1]Responses!$I$2:$I$4001,"Wrong")</f>
        <v>2</v>
      </c>
      <c r="K130" s="2">
        <f>ROUND(SUMIFS([1]Responses!$J$2:$J$4001,[1]Responses!$B$2:$B$4001,$A130,[1]Responses!$K$2:$K$4001,"High"),2)</f>
        <v>11.12</v>
      </c>
      <c r="L130">
        <f>COUNTIFS([1]Responses!$B$2:$B$4001,$A130,[1]Responses!$K$2:$K$4001,"Medium",[1]Responses!$I$2:$I$4001,"Correct")</f>
        <v>5</v>
      </c>
      <c r="M130">
        <f>COUNTIFS([1]Responses!$B$2:$B$4001,$A130,[1]Responses!$K$2:$K$4001,"Medium",[1]Responses!$I$2:$I$4001,"Wrong")</f>
        <v>1</v>
      </c>
      <c r="N130" s="2">
        <f>ROUND(SUMIFS([1]Responses!$J$2:$J$4001,[1]Responses!$B$2:$B$4001,$A130,[1]Responses!$K$2:$K$4001,"Medium"),2)</f>
        <v>12.02</v>
      </c>
      <c r="O130">
        <f>COUNTIFS([1]Responses!$B$2:$B$4001,$A130,[1]Responses!$K$2:$K$4001,"Low",[1]Responses!$I$2:$I$4001,"Correct")</f>
        <v>8</v>
      </c>
      <c r="P130">
        <f>COUNTIFS([1]Responses!$B$2:$B$4001,$A130,[1]Responses!$K$2:$K$4001,"Low",[1]Responses!$I$2:$I$4001,"Wrong")</f>
        <v>1</v>
      </c>
      <c r="Q130" s="2">
        <f>ROUND(SUMIFS([1]Responses!$J$2:$J$4001,[1]Responses!$B$2:$B$4001,$A130,[1]Responses!$K$2:$K$4001,"Low"),2)</f>
        <v>13.87</v>
      </c>
      <c r="R130" s="2">
        <f>ROUND(SUMIFS([1]Responses!$AB$2:$AB$4001,[1]Responses!$B$2:$B$4001,$A130),2)</f>
        <v>28.94</v>
      </c>
      <c r="S130" t="str">
        <f>IF(R130&gt;='[1]Reward Model'!$B$8,"Gold",IF(R130&gt;='[1]Reward Model'!$B$9,"Silver","Bronze"))</f>
        <v>Gold</v>
      </c>
      <c r="T130" s="2">
        <f>ROUND(R130/'[1]Reward Model'!$B$7*100,2)</f>
        <v>70.59</v>
      </c>
    </row>
    <row r="131" spans="1:20" x14ac:dyDescent="0.25">
      <c r="A131" t="s">
        <v>154</v>
      </c>
      <c r="B131" t="s">
        <v>120</v>
      </c>
      <c r="C131" t="s">
        <v>53</v>
      </c>
      <c r="D131">
        <f t="shared" si="8"/>
        <v>20</v>
      </c>
      <c r="E131" s="2">
        <f t="shared" si="9"/>
        <v>32.28</v>
      </c>
      <c r="F131">
        <f>COUNTIFS([1]Responses!$B$2:$B$4001,$A131)</f>
        <v>20</v>
      </c>
      <c r="G131">
        <f t="shared" si="10"/>
        <v>14</v>
      </c>
      <c r="H131">
        <f t="shared" si="10"/>
        <v>6</v>
      </c>
      <c r="I131">
        <f>COUNTIFS([1]Responses!$B$2:$B$4001,$A131,[1]Responses!$K$2:$K$4001,"High",[1]Responses!$I$2:$I$4001,"Correct")</f>
        <v>2</v>
      </c>
      <c r="J131">
        <f>COUNTIFS([1]Responses!$B$2:$B$4001,$A131,[1]Responses!$K$2:$K$4001,"High",[1]Responses!$I$2:$I$4001,"Wrong")</f>
        <v>3</v>
      </c>
      <c r="K131" s="2">
        <f>ROUND(SUMIFS([1]Responses!$J$2:$J$4001,[1]Responses!$B$2:$B$4001,$A131,[1]Responses!$K$2:$K$4001,"High"),2)</f>
        <v>9.7799999999999994</v>
      </c>
      <c r="L131">
        <f>COUNTIFS([1]Responses!$B$2:$B$4001,$A131,[1]Responses!$K$2:$K$4001,"Medium",[1]Responses!$I$2:$I$4001,"Correct")</f>
        <v>4</v>
      </c>
      <c r="M131">
        <f>COUNTIFS([1]Responses!$B$2:$B$4001,$A131,[1]Responses!$K$2:$K$4001,"Medium",[1]Responses!$I$2:$I$4001,"Wrong")</f>
        <v>2</v>
      </c>
      <c r="N131" s="2">
        <f>ROUND(SUMIFS([1]Responses!$J$2:$J$4001,[1]Responses!$B$2:$B$4001,$A131,[1]Responses!$K$2:$K$4001,"Medium"),2)</f>
        <v>10.53</v>
      </c>
      <c r="O131">
        <f>COUNTIFS([1]Responses!$B$2:$B$4001,$A131,[1]Responses!$K$2:$K$4001,"Low",[1]Responses!$I$2:$I$4001,"Correct")</f>
        <v>8</v>
      </c>
      <c r="P131">
        <f>COUNTIFS([1]Responses!$B$2:$B$4001,$A131,[1]Responses!$K$2:$K$4001,"Low",[1]Responses!$I$2:$I$4001,"Wrong")</f>
        <v>1</v>
      </c>
      <c r="Q131" s="2">
        <f>ROUND(SUMIFS([1]Responses!$J$2:$J$4001,[1]Responses!$B$2:$B$4001,$A131,[1]Responses!$K$2:$K$4001,"Low"),2)</f>
        <v>11.97</v>
      </c>
      <c r="R131" s="2">
        <f>ROUND(SUMIFS([1]Responses!$AB$2:$AB$4001,[1]Responses!$B$2:$B$4001,$A131),2)</f>
        <v>25.9</v>
      </c>
      <c r="S131" t="str">
        <f>IF(R131&gt;='[1]Reward Model'!$B$8,"Gold",IF(R131&gt;='[1]Reward Model'!$B$9,"Silver","Bronze"))</f>
        <v>Silver</v>
      </c>
      <c r="T131" s="2">
        <f>ROUND(R131/'[1]Reward Model'!$B$7*100,2)</f>
        <v>63.17</v>
      </c>
    </row>
    <row r="132" spans="1:20" x14ac:dyDescent="0.25">
      <c r="A132" t="s">
        <v>155</v>
      </c>
      <c r="B132" t="s">
        <v>120</v>
      </c>
      <c r="C132" t="s">
        <v>53</v>
      </c>
      <c r="D132">
        <f t="shared" si="8"/>
        <v>20</v>
      </c>
      <c r="E132" s="2">
        <f t="shared" si="9"/>
        <v>30.05</v>
      </c>
      <c r="F132">
        <f>COUNTIFS([1]Responses!$B$2:$B$4001,$A132)</f>
        <v>20</v>
      </c>
      <c r="G132">
        <f t="shared" si="10"/>
        <v>16</v>
      </c>
      <c r="H132">
        <f t="shared" si="10"/>
        <v>4</v>
      </c>
      <c r="I132">
        <f>COUNTIFS([1]Responses!$B$2:$B$4001,$A132,[1]Responses!$K$2:$K$4001,"High",[1]Responses!$I$2:$I$4001,"Correct")</f>
        <v>3</v>
      </c>
      <c r="J132">
        <f>COUNTIFS([1]Responses!$B$2:$B$4001,$A132,[1]Responses!$K$2:$K$4001,"High",[1]Responses!$I$2:$I$4001,"Wrong")</f>
        <v>2</v>
      </c>
      <c r="K132" s="2">
        <f>ROUND(SUMIFS([1]Responses!$J$2:$J$4001,[1]Responses!$B$2:$B$4001,$A132,[1]Responses!$K$2:$K$4001,"High"),2)</f>
        <v>8.5399999999999991</v>
      </c>
      <c r="L132">
        <f>COUNTIFS([1]Responses!$B$2:$B$4001,$A132,[1]Responses!$K$2:$K$4001,"Medium",[1]Responses!$I$2:$I$4001,"Correct")</f>
        <v>5</v>
      </c>
      <c r="M132">
        <f>COUNTIFS([1]Responses!$B$2:$B$4001,$A132,[1]Responses!$K$2:$K$4001,"Medium",[1]Responses!$I$2:$I$4001,"Wrong")</f>
        <v>1</v>
      </c>
      <c r="N132" s="2">
        <f>ROUND(SUMIFS([1]Responses!$J$2:$J$4001,[1]Responses!$B$2:$B$4001,$A132,[1]Responses!$K$2:$K$4001,"Medium"),2)</f>
        <v>9.82</v>
      </c>
      <c r="O132">
        <f>COUNTIFS([1]Responses!$B$2:$B$4001,$A132,[1]Responses!$K$2:$K$4001,"Low",[1]Responses!$I$2:$I$4001,"Correct")</f>
        <v>8</v>
      </c>
      <c r="P132">
        <f>COUNTIFS([1]Responses!$B$2:$B$4001,$A132,[1]Responses!$K$2:$K$4001,"Low",[1]Responses!$I$2:$I$4001,"Wrong")</f>
        <v>1</v>
      </c>
      <c r="Q132" s="2">
        <f>ROUND(SUMIFS([1]Responses!$J$2:$J$4001,[1]Responses!$B$2:$B$4001,$A132,[1]Responses!$K$2:$K$4001,"Low"),2)</f>
        <v>11.69</v>
      </c>
      <c r="R132" s="2">
        <f>ROUND(SUMIFS([1]Responses!$AB$2:$AB$4001,[1]Responses!$B$2:$B$4001,$A132),2)</f>
        <v>30.36</v>
      </c>
      <c r="S132" t="str">
        <f>IF(R132&gt;='[1]Reward Model'!$B$8,"Gold",IF(R132&gt;='[1]Reward Model'!$B$9,"Silver","Bronze"))</f>
        <v>Gold</v>
      </c>
      <c r="T132" s="2">
        <f>ROUND(R132/'[1]Reward Model'!$B$7*100,2)</f>
        <v>74.05</v>
      </c>
    </row>
    <row r="133" spans="1:20" x14ac:dyDescent="0.25">
      <c r="A133" t="s">
        <v>156</v>
      </c>
      <c r="B133" t="s">
        <v>120</v>
      </c>
      <c r="C133" t="s">
        <v>53</v>
      </c>
      <c r="D133">
        <f t="shared" si="8"/>
        <v>20</v>
      </c>
      <c r="E133" s="2">
        <f t="shared" si="9"/>
        <v>33.86</v>
      </c>
      <c r="F133">
        <f>COUNTIFS([1]Responses!$B$2:$B$4001,$A133)</f>
        <v>20</v>
      </c>
      <c r="G133">
        <f t="shared" si="10"/>
        <v>14</v>
      </c>
      <c r="H133">
        <f t="shared" si="10"/>
        <v>6</v>
      </c>
      <c r="I133">
        <f>COUNTIFS([1]Responses!$B$2:$B$4001,$A133,[1]Responses!$K$2:$K$4001,"High",[1]Responses!$I$2:$I$4001,"Correct")</f>
        <v>1</v>
      </c>
      <c r="J133">
        <f>COUNTIFS([1]Responses!$B$2:$B$4001,$A133,[1]Responses!$K$2:$K$4001,"High",[1]Responses!$I$2:$I$4001,"Wrong")</f>
        <v>4</v>
      </c>
      <c r="K133" s="2">
        <f>ROUND(SUMIFS([1]Responses!$J$2:$J$4001,[1]Responses!$B$2:$B$4001,$A133,[1]Responses!$K$2:$K$4001,"High"),2)</f>
        <v>10.09</v>
      </c>
      <c r="L133">
        <f>COUNTIFS([1]Responses!$B$2:$B$4001,$A133,[1]Responses!$K$2:$K$4001,"Medium",[1]Responses!$I$2:$I$4001,"Correct")</f>
        <v>5</v>
      </c>
      <c r="M133">
        <f>COUNTIFS([1]Responses!$B$2:$B$4001,$A133,[1]Responses!$K$2:$K$4001,"Medium",[1]Responses!$I$2:$I$4001,"Wrong")</f>
        <v>1</v>
      </c>
      <c r="N133" s="2">
        <f>ROUND(SUMIFS([1]Responses!$J$2:$J$4001,[1]Responses!$B$2:$B$4001,$A133,[1]Responses!$K$2:$K$4001,"Medium"),2)</f>
        <v>11.74</v>
      </c>
      <c r="O133">
        <f>COUNTIFS([1]Responses!$B$2:$B$4001,$A133,[1]Responses!$K$2:$K$4001,"Low",[1]Responses!$I$2:$I$4001,"Correct")</f>
        <v>8</v>
      </c>
      <c r="P133">
        <f>COUNTIFS([1]Responses!$B$2:$B$4001,$A133,[1]Responses!$K$2:$K$4001,"Low",[1]Responses!$I$2:$I$4001,"Wrong")</f>
        <v>1</v>
      </c>
      <c r="Q133" s="2">
        <f>ROUND(SUMIFS([1]Responses!$J$2:$J$4001,[1]Responses!$B$2:$B$4001,$A133,[1]Responses!$K$2:$K$4001,"Low"),2)</f>
        <v>12.03</v>
      </c>
      <c r="R133" s="2">
        <f>ROUND(SUMIFS([1]Responses!$AB$2:$AB$4001,[1]Responses!$B$2:$B$4001,$A133),2)</f>
        <v>23.54</v>
      </c>
      <c r="S133" t="str">
        <f>IF(R133&gt;='[1]Reward Model'!$B$8,"Gold",IF(R133&gt;='[1]Reward Model'!$B$9,"Silver","Bronze"))</f>
        <v>Silver</v>
      </c>
      <c r="T133" s="2">
        <f>ROUND(R133/'[1]Reward Model'!$B$7*100,2)</f>
        <v>57.41</v>
      </c>
    </row>
    <row r="134" spans="1:20" x14ac:dyDescent="0.25">
      <c r="A134" t="s">
        <v>157</v>
      </c>
      <c r="B134" t="s">
        <v>120</v>
      </c>
      <c r="C134" t="s">
        <v>53</v>
      </c>
      <c r="D134">
        <f t="shared" si="8"/>
        <v>20</v>
      </c>
      <c r="E134" s="2">
        <f t="shared" si="9"/>
        <v>32.99</v>
      </c>
      <c r="F134">
        <f>COUNTIFS([1]Responses!$B$2:$B$4001,$A134)</f>
        <v>20</v>
      </c>
      <c r="G134">
        <f t="shared" si="10"/>
        <v>13</v>
      </c>
      <c r="H134">
        <f t="shared" si="10"/>
        <v>7</v>
      </c>
      <c r="I134">
        <f>COUNTIFS([1]Responses!$B$2:$B$4001,$A134,[1]Responses!$K$2:$K$4001,"High",[1]Responses!$I$2:$I$4001,"Correct")</f>
        <v>2</v>
      </c>
      <c r="J134">
        <f>COUNTIFS([1]Responses!$B$2:$B$4001,$A134,[1]Responses!$K$2:$K$4001,"High",[1]Responses!$I$2:$I$4001,"Wrong")</f>
        <v>3</v>
      </c>
      <c r="K134" s="2">
        <f>ROUND(SUMIFS([1]Responses!$J$2:$J$4001,[1]Responses!$B$2:$B$4001,$A134,[1]Responses!$K$2:$K$4001,"High"),2)</f>
        <v>9.17</v>
      </c>
      <c r="L134">
        <f>COUNTIFS([1]Responses!$B$2:$B$4001,$A134,[1]Responses!$K$2:$K$4001,"Medium",[1]Responses!$I$2:$I$4001,"Correct")</f>
        <v>3</v>
      </c>
      <c r="M134">
        <f>COUNTIFS([1]Responses!$B$2:$B$4001,$A134,[1]Responses!$K$2:$K$4001,"Medium",[1]Responses!$I$2:$I$4001,"Wrong")</f>
        <v>3</v>
      </c>
      <c r="N134" s="2">
        <f>ROUND(SUMIFS([1]Responses!$J$2:$J$4001,[1]Responses!$B$2:$B$4001,$A134,[1]Responses!$K$2:$K$4001,"Medium"),2)</f>
        <v>12.11</v>
      </c>
      <c r="O134">
        <f>COUNTIFS([1]Responses!$B$2:$B$4001,$A134,[1]Responses!$K$2:$K$4001,"Low",[1]Responses!$I$2:$I$4001,"Correct")</f>
        <v>8</v>
      </c>
      <c r="P134">
        <f>COUNTIFS([1]Responses!$B$2:$B$4001,$A134,[1]Responses!$K$2:$K$4001,"Low",[1]Responses!$I$2:$I$4001,"Wrong")</f>
        <v>1</v>
      </c>
      <c r="Q134" s="2">
        <f>ROUND(SUMIFS([1]Responses!$J$2:$J$4001,[1]Responses!$B$2:$B$4001,$A134,[1]Responses!$K$2:$K$4001,"Low"),2)</f>
        <v>11.71</v>
      </c>
      <c r="R134" s="2">
        <f>ROUND(SUMIFS([1]Responses!$AB$2:$AB$4001,[1]Responses!$B$2:$B$4001,$A134),2)</f>
        <v>22.05</v>
      </c>
      <c r="S134" t="str">
        <f>IF(R134&gt;='[1]Reward Model'!$B$8,"Gold",IF(R134&gt;='[1]Reward Model'!$B$9,"Silver","Bronze"))</f>
        <v>Silver</v>
      </c>
      <c r="T134" s="2">
        <f>ROUND(R134/'[1]Reward Model'!$B$7*100,2)</f>
        <v>53.78</v>
      </c>
    </row>
    <row r="135" spans="1:20" x14ac:dyDescent="0.25">
      <c r="A135" t="s">
        <v>158</v>
      </c>
      <c r="B135" t="s">
        <v>120</v>
      </c>
      <c r="C135" t="s">
        <v>53</v>
      </c>
      <c r="D135">
        <f t="shared" si="8"/>
        <v>20</v>
      </c>
      <c r="E135" s="2">
        <f t="shared" si="9"/>
        <v>33.549999999999997</v>
      </c>
      <c r="F135">
        <f>COUNTIFS([1]Responses!$B$2:$B$4001,$A135)</f>
        <v>20</v>
      </c>
      <c r="G135">
        <f t="shared" si="10"/>
        <v>11</v>
      </c>
      <c r="H135">
        <f t="shared" si="10"/>
        <v>9</v>
      </c>
      <c r="I135">
        <f>COUNTIFS([1]Responses!$B$2:$B$4001,$A135,[1]Responses!$K$2:$K$4001,"High",[1]Responses!$I$2:$I$4001,"Correct")</f>
        <v>2</v>
      </c>
      <c r="J135">
        <f>COUNTIFS([1]Responses!$B$2:$B$4001,$A135,[1]Responses!$K$2:$K$4001,"High",[1]Responses!$I$2:$I$4001,"Wrong")</f>
        <v>3</v>
      </c>
      <c r="K135" s="2">
        <f>ROUND(SUMIFS([1]Responses!$J$2:$J$4001,[1]Responses!$B$2:$B$4001,$A135,[1]Responses!$K$2:$K$4001,"High"),2)</f>
        <v>10.99</v>
      </c>
      <c r="L135">
        <f>COUNTIFS([1]Responses!$B$2:$B$4001,$A135,[1]Responses!$K$2:$K$4001,"Medium",[1]Responses!$I$2:$I$4001,"Correct")</f>
        <v>2</v>
      </c>
      <c r="M135">
        <f>COUNTIFS([1]Responses!$B$2:$B$4001,$A135,[1]Responses!$K$2:$K$4001,"Medium",[1]Responses!$I$2:$I$4001,"Wrong")</f>
        <v>4</v>
      </c>
      <c r="N135" s="2">
        <f>ROUND(SUMIFS([1]Responses!$J$2:$J$4001,[1]Responses!$B$2:$B$4001,$A135,[1]Responses!$K$2:$K$4001,"Medium"),2)</f>
        <v>8.9</v>
      </c>
      <c r="O135">
        <f>COUNTIFS([1]Responses!$B$2:$B$4001,$A135,[1]Responses!$K$2:$K$4001,"Low",[1]Responses!$I$2:$I$4001,"Correct")</f>
        <v>7</v>
      </c>
      <c r="P135">
        <f>COUNTIFS([1]Responses!$B$2:$B$4001,$A135,[1]Responses!$K$2:$K$4001,"Low",[1]Responses!$I$2:$I$4001,"Wrong")</f>
        <v>2</v>
      </c>
      <c r="Q135" s="2">
        <f>ROUND(SUMIFS([1]Responses!$J$2:$J$4001,[1]Responses!$B$2:$B$4001,$A135,[1]Responses!$K$2:$K$4001,"Low"),2)</f>
        <v>13.66</v>
      </c>
      <c r="R135" s="2">
        <f>ROUND(SUMIFS([1]Responses!$AB$2:$AB$4001,[1]Responses!$B$2:$B$4001,$A135),2)</f>
        <v>18.87</v>
      </c>
      <c r="S135" t="str">
        <f>IF(R135&gt;='[1]Reward Model'!$B$8,"Gold",IF(R135&gt;='[1]Reward Model'!$B$9,"Silver","Bronze"))</f>
        <v>Bronze</v>
      </c>
      <c r="T135" s="2">
        <f>ROUND(R135/'[1]Reward Model'!$B$7*100,2)</f>
        <v>46.02</v>
      </c>
    </row>
    <row r="136" spans="1:20" x14ac:dyDescent="0.25">
      <c r="A136" t="s">
        <v>159</v>
      </c>
      <c r="B136" t="s">
        <v>120</v>
      </c>
      <c r="C136" t="s">
        <v>53</v>
      </c>
      <c r="D136">
        <f t="shared" si="8"/>
        <v>20</v>
      </c>
      <c r="E136" s="2">
        <f t="shared" si="9"/>
        <v>31.71</v>
      </c>
      <c r="F136">
        <f>COUNTIFS([1]Responses!$B$2:$B$4001,$A136)</f>
        <v>20</v>
      </c>
      <c r="G136">
        <f t="shared" si="10"/>
        <v>14</v>
      </c>
      <c r="H136">
        <f t="shared" si="10"/>
        <v>6</v>
      </c>
      <c r="I136">
        <f>COUNTIFS([1]Responses!$B$2:$B$4001,$A136,[1]Responses!$K$2:$K$4001,"High",[1]Responses!$I$2:$I$4001,"Correct")</f>
        <v>1</v>
      </c>
      <c r="J136">
        <f>COUNTIFS([1]Responses!$B$2:$B$4001,$A136,[1]Responses!$K$2:$K$4001,"High",[1]Responses!$I$2:$I$4001,"Wrong")</f>
        <v>4</v>
      </c>
      <c r="K136" s="2">
        <f>ROUND(SUMIFS([1]Responses!$J$2:$J$4001,[1]Responses!$B$2:$B$4001,$A136,[1]Responses!$K$2:$K$4001,"High"),2)</f>
        <v>8.83</v>
      </c>
      <c r="L136">
        <f>COUNTIFS([1]Responses!$B$2:$B$4001,$A136,[1]Responses!$K$2:$K$4001,"Medium",[1]Responses!$I$2:$I$4001,"Correct")</f>
        <v>5</v>
      </c>
      <c r="M136">
        <f>COUNTIFS([1]Responses!$B$2:$B$4001,$A136,[1]Responses!$K$2:$K$4001,"Medium",[1]Responses!$I$2:$I$4001,"Wrong")</f>
        <v>1</v>
      </c>
      <c r="N136" s="2">
        <f>ROUND(SUMIFS([1]Responses!$J$2:$J$4001,[1]Responses!$B$2:$B$4001,$A136,[1]Responses!$K$2:$K$4001,"Medium"),2)</f>
        <v>10.02</v>
      </c>
      <c r="O136">
        <f>COUNTIFS([1]Responses!$B$2:$B$4001,$A136,[1]Responses!$K$2:$K$4001,"Low",[1]Responses!$I$2:$I$4001,"Correct")</f>
        <v>8</v>
      </c>
      <c r="P136">
        <f>COUNTIFS([1]Responses!$B$2:$B$4001,$A136,[1]Responses!$K$2:$K$4001,"Low",[1]Responses!$I$2:$I$4001,"Wrong")</f>
        <v>1</v>
      </c>
      <c r="Q136" s="2">
        <f>ROUND(SUMIFS([1]Responses!$J$2:$J$4001,[1]Responses!$B$2:$B$4001,$A136,[1]Responses!$K$2:$K$4001,"Low"),2)</f>
        <v>12.86</v>
      </c>
      <c r="R136" s="2">
        <f>ROUND(SUMIFS([1]Responses!$AB$2:$AB$4001,[1]Responses!$B$2:$B$4001,$A136),2)</f>
        <v>23.78</v>
      </c>
      <c r="S136" t="str">
        <f>IF(R136&gt;='[1]Reward Model'!$B$8,"Gold",IF(R136&gt;='[1]Reward Model'!$B$9,"Silver","Bronze"))</f>
        <v>Silver</v>
      </c>
      <c r="T136" s="2">
        <f>ROUND(R136/'[1]Reward Model'!$B$7*100,2)</f>
        <v>58</v>
      </c>
    </row>
    <row r="137" spans="1:20" x14ac:dyDescent="0.25">
      <c r="A137" t="s">
        <v>160</v>
      </c>
      <c r="B137" t="s">
        <v>120</v>
      </c>
      <c r="C137" t="s">
        <v>53</v>
      </c>
      <c r="D137">
        <f t="shared" si="8"/>
        <v>20</v>
      </c>
      <c r="E137" s="2">
        <f t="shared" si="9"/>
        <v>31.54</v>
      </c>
      <c r="F137">
        <f>COUNTIFS([1]Responses!$B$2:$B$4001,$A137)</f>
        <v>20</v>
      </c>
      <c r="G137">
        <f t="shared" si="10"/>
        <v>16</v>
      </c>
      <c r="H137">
        <f t="shared" si="10"/>
        <v>4</v>
      </c>
      <c r="I137">
        <f>COUNTIFS([1]Responses!$B$2:$B$4001,$A137,[1]Responses!$K$2:$K$4001,"High",[1]Responses!$I$2:$I$4001,"Correct")</f>
        <v>4</v>
      </c>
      <c r="J137">
        <f>COUNTIFS([1]Responses!$B$2:$B$4001,$A137,[1]Responses!$K$2:$K$4001,"High",[1]Responses!$I$2:$I$4001,"Wrong")</f>
        <v>1</v>
      </c>
      <c r="K137" s="2">
        <f>ROUND(SUMIFS([1]Responses!$J$2:$J$4001,[1]Responses!$B$2:$B$4001,$A137,[1]Responses!$K$2:$K$4001,"High"),2)</f>
        <v>9.64</v>
      </c>
      <c r="L137">
        <f>COUNTIFS([1]Responses!$B$2:$B$4001,$A137,[1]Responses!$K$2:$K$4001,"Medium",[1]Responses!$I$2:$I$4001,"Correct")</f>
        <v>5</v>
      </c>
      <c r="M137">
        <f>COUNTIFS([1]Responses!$B$2:$B$4001,$A137,[1]Responses!$K$2:$K$4001,"Medium",[1]Responses!$I$2:$I$4001,"Wrong")</f>
        <v>1</v>
      </c>
      <c r="N137" s="2">
        <f>ROUND(SUMIFS([1]Responses!$J$2:$J$4001,[1]Responses!$B$2:$B$4001,$A137,[1]Responses!$K$2:$K$4001,"Medium"),2)</f>
        <v>10</v>
      </c>
      <c r="O137">
        <f>COUNTIFS([1]Responses!$B$2:$B$4001,$A137,[1]Responses!$K$2:$K$4001,"Low",[1]Responses!$I$2:$I$4001,"Correct")</f>
        <v>7</v>
      </c>
      <c r="P137">
        <f>COUNTIFS([1]Responses!$B$2:$B$4001,$A137,[1]Responses!$K$2:$K$4001,"Low",[1]Responses!$I$2:$I$4001,"Wrong")</f>
        <v>2</v>
      </c>
      <c r="Q137" s="2">
        <f>ROUND(SUMIFS([1]Responses!$J$2:$J$4001,[1]Responses!$B$2:$B$4001,$A137,[1]Responses!$K$2:$K$4001,"Low"),2)</f>
        <v>11.9</v>
      </c>
      <c r="R137" s="2">
        <f>ROUND(SUMIFS([1]Responses!$AB$2:$AB$4001,[1]Responses!$B$2:$B$4001,$A137),2)</f>
        <v>30.96</v>
      </c>
      <c r="S137" t="str">
        <f>IF(R137&gt;='[1]Reward Model'!$B$8,"Gold",IF(R137&gt;='[1]Reward Model'!$B$9,"Silver","Bronze"))</f>
        <v>Gold</v>
      </c>
      <c r="T137" s="2">
        <f>ROUND(R137/'[1]Reward Model'!$B$7*100,2)</f>
        <v>75.510000000000005</v>
      </c>
    </row>
    <row r="138" spans="1:20" x14ac:dyDescent="0.25">
      <c r="A138" t="s">
        <v>161</v>
      </c>
      <c r="B138" t="s">
        <v>120</v>
      </c>
      <c r="C138" t="s">
        <v>53</v>
      </c>
      <c r="D138">
        <f t="shared" si="8"/>
        <v>20</v>
      </c>
      <c r="E138" s="2">
        <f t="shared" si="9"/>
        <v>31.81</v>
      </c>
      <c r="F138">
        <f>COUNTIFS([1]Responses!$B$2:$B$4001,$A138)</f>
        <v>20</v>
      </c>
      <c r="G138">
        <f t="shared" si="10"/>
        <v>13</v>
      </c>
      <c r="H138">
        <f t="shared" si="10"/>
        <v>7</v>
      </c>
      <c r="I138">
        <f>COUNTIFS([1]Responses!$B$2:$B$4001,$A138,[1]Responses!$K$2:$K$4001,"High",[1]Responses!$I$2:$I$4001,"Correct")</f>
        <v>1</v>
      </c>
      <c r="J138">
        <f>COUNTIFS([1]Responses!$B$2:$B$4001,$A138,[1]Responses!$K$2:$K$4001,"High",[1]Responses!$I$2:$I$4001,"Wrong")</f>
        <v>4</v>
      </c>
      <c r="K138" s="2">
        <f>ROUND(SUMIFS([1]Responses!$J$2:$J$4001,[1]Responses!$B$2:$B$4001,$A138,[1]Responses!$K$2:$K$4001,"High"),2)</f>
        <v>10.02</v>
      </c>
      <c r="L138">
        <f>COUNTIFS([1]Responses!$B$2:$B$4001,$A138,[1]Responses!$K$2:$K$4001,"Medium",[1]Responses!$I$2:$I$4001,"Correct")</f>
        <v>4</v>
      </c>
      <c r="M138">
        <f>COUNTIFS([1]Responses!$B$2:$B$4001,$A138,[1]Responses!$K$2:$K$4001,"Medium",[1]Responses!$I$2:$I$4001,"Wrong")</f>
        <v>2</v>
      </c>
      <c r="N138" s="2">
        <f>ROUND(SUMIFS([1]Responses!$J$2:$J$4001,[1]Responses!$B$2:$B$4001,$A138,[1]Responses!$K$2:$K$4001,"Medium"),2)</f>
        <v>10.29</v>
      </c>
      <c r="O138">
        <f>COUNTIFS([1]Responses!$B$2:$B$4001,$A138,[1]Responses!$K$2:$K$4001,"Low",[1]Responses!$I$2:$I$4001,"Correct")</f>
        <v>8</v>
      </c>
      <c r="P138">
        <f>COUNTIFS([1]Responses!$B$2:$B$4001,$A138,[1]Responses!$K$2:$K$4001,"Low",[1]Responses!$I$2:$I$4001,"Wrong")</f>
        <v>1</v>
      </c>
      <c r="Q138" s="2">
        <f>ROUND(SUMIFS([1]Responses!$J$2:$J$4001,[1]Responses!$B$2:$B$4001,$A138,[1]Responses!$K$2:$K$4001,"Low"),2)</f>
        <v>11.5</v>
      </c>
      <c r="R138" s="2">
        <f>ROUND(SUMIFS([1]Responses!$AB$2:$AB$4001,[1]Responses!$B$2:$B$4001,$A138),2)</f>
        <v>23.19</v>
      </c>
      <c r="S138" t="str">
        <f>IF(R138&gt;='[1]Reward Model'!$B$8,"Gold",IF(R138&gt;='[1]Reward Model'!$B$9,"Silver","Bronze"))</f>
        <v>Silver</v>
      </c>
      <c r="T138" s="2">
        <f>ROUND(R138/'[1]Reward Model'!$B$7*100,2)</f>
        <v>56.56</v>
      </c>
    </row>
    <row r="139" spans="1:20" x14ac:dyDescent="0.25">
      <c r="A139" t="s">
        <v>162</v>
      </c>
      <c r="B139" t="s">
        <v>120</v>
      </c>
      <c r="C139" t="s">
        <v>53</v>
      </c>
      <c r="D139">
        <f t="shared" si="8"/>
        <v>20</v>
      </c>
      <c r="E139" s="2">
        <f t="shared" si="9"/>
        <v>34.51</v>
      </c>
      <c r="F139">
        <f>COUNTIFS([1]Responses!$B$2:$B$4001,$A139)</f>
        <v>20</v>
      </c>
      <c r="G139">
        <f t="shared" si="10"/>
        <v>15</v>
      </c>
      <c r="H139">
        <f t="shared" si="10"/>
        <v>5</v>
      </c>
      <c r="I139">
        <f>COUNTIFS([1]Responses!$B$2:$B$4001,$A139,[1]Responses!$K$2:$K$4001,"High",[1]Responses!$I$2:$I$4001,"Correct")</f>
        <v>3</v>
      </c>
      <c r="J139">
        <f>COUNTIFS([1]Responses!$B$2:$B$4001,$A139,[1]Responses!$K$2:$K$4001,"High",[1]Responses!$I$2:$I$4001,"Wrong")</f>
        <v>2</v>
      </c>
      <c r="K139" s="2">
        <f>ROUND(SUMIFS([1]Responses!$J$2:$J$4001,[1]Responses!$B$2:$B$4001,$A139,[1]Responses!$K$2:$K$4001,"High"),2)</f>
        <v>11.04</v>
      </c>
      <c r="L139">
        <f>COUNTIFS([1]Responses!$B$2:$B$4001,$A139,[1]Responses!$K$2:$K$4001,"Medium",[1]Responses!$I$2:$I$4001,"Correct")</f>
        <v>4</v>
      </c>
      <c r="M139">
        <f>COUNTIFS([1]Responses!$B$2:$B$4001,$A139,[1]Responses!$K$2:$K$4001,"Medium",[1]Responses!$I$2:$I$4001,"Wrong")</f>
        <v>2</v>
      </c>
      <c r="N139" s="2">
        <f>ROUND(SUMIFS([1]Responses!$J$2:$J$4001,[1]Responses!$B$2:$B$4001,$A139,[1]Responses!$K$2:$K$4001,"Medium"),2)</f>
        <v>10.59</v>
      </c>
      <c r="O139">
        <f>COUNTIFS([1]Responses!$B$2:$B$4001,$A139,[1]Responses!$K$2:$K$4001,"Low",[1]Responses!$I$2:$I$4001,"Correct")</f>
        <v>8</v>
      </c>
      <c r="P139">
        <f>COUNTIFS([1]Responses!$B$2:$B$4001,$A139,[1]Responses!$K$2:$K$4001,"Low",[1]Responses!$I$2:$I$4001,"Wrong")</f>
        <v>1</v>
      </c>
      <c r="Q139" s="2">
        <f>ROUND(SUMIFS([1]Responses!$J$2:$J$4001,[1]Responses!$B$2:$B$4001,$A139,[1]Responses!$K$2:$K$4001,"Low"),2)</f>
        <v>12.88</v>
      </c>
      <c r="R139" s="2">
        <f>ROUND(SUMIFS([1]Responses!$AB$2:$AB$4001,[1]Responses!$B$2:$B$4001,$A139),2)</f>
        <v>27.1</v>
      </c>
      <c r="S139" t="str">
        <f>IF(R139&gt;='[1]Reward Model'!$B$8,"Gold",IF(R139&gt;='[1]Reward Model'!$B$9,"Silver","Bronze"))</f>
        <v>Silver</v>
      </c>
      <c r="T139" s="2">
        <f>ROUND(R139/'[1]Reward Model'!$B$7*100,2)</f>
        <v>66.099999999999994</v>
      </c>
    </row>
    <row r="140" spans="1:20" x14ac:dyDescent="0.25">
      <c r="A140" t="s">
        <v>163</v>
      </c>
      <c r="B140" t="s">
        <v>120</v>
      </c>
      <c r="C140" t="s">
        <v>53</v>
      </c>
      <c r="D140">
        <f t="shared" si="8"/>
        <v>20</v>
      </c>
      <c r="E140" s="2">
        <f t="shared" si="9"/>
        <v>34.799999999999997</v>
      </c>
      <c r="F140">
        <f>COUNTIFS([1]Responses!$B$2:$B$4001,$A140)</f>
        <v>20</v>
      </c>
      <c r="G140">
        <f t="shared" si="10"/>
        <v>15</v>
      </c>
      <c r="H140">
        <f t="shared" si="10"/>
        <v>5</v>
      </c>
      <c r="I140">
        <f>COUNTIFS([1]Responses!$B$2:$B$4001,$A140,[1]Responses!$K$2:$K$4001,"High",[1]Responses!$I$2:$I$4001,"Correct")</f>
        <v>2</v>
      </c>
      <c r="J140">
        <f>COUNTIFS([1]Responses!$B$2:$B$4001,$A140,[1]Responses!$K$2:$K$4001,"High",[1]Responses!$I$2:$I$4001,"Wrong")</f>
        <v>3</v>
      </c>
      <c r="K140" s="2">
        <f>ROUND(SUMIFS([1]Responses!$J$2:$J$4001,[1]Responses!$B$2:$B$4001,$A140,[1]Responses!$K$2:$K$4001,"High"),2)</f>
        <v>10.69</v>
      </c>
      <c r="L140">
        <f>COUNTIFS([1]Responses!$B$2:$B$4001,$A140,[1]Responses!$K$2:$K$4001,"Medium",[1]Responses!$I$2:$I$4001,"Correct")</f>
        <v>5</v>
      </c>
      <c r="M140">
        <f>COUNTIFS([1]Responses!$B$2:$B$4001,$A140,[1]Responses!$K$2:$K$4001,"Medium",[1]Responses!$I$2:$I$4001,"Wrong")</f>
        <v>1</v>
      </c>
      <c r="N140" s="2">
        <f>ROUND(SUMIFS([1]Responses!$J$2:$J$4001,[1]Responses!$B$2:$B$4001,$A140,[1]Responses!$K$2:$K$4001,"Medium"),2)</f>
        <v>11.69</v>
      </c>
      <c r="O140">
        <f>COUNTIFS([1]Responses!$B$2:$B$4001,$A140,[1]Responses!$K$2:$K$4001,"Low",[1]Responses!$I$2:$I$4001,"Correct")</f>
        <v>8</v>
      </c>
      <c r="P140">
        <f>COUNTIFS([1]Responses!$B$2:$B$4001,$A140,[1]Responses!$K$2:$K$4001,"Low",[1]Responses!$I$2:$I$4001,"Wrong")</f>
        <v>1</v>
      </c>
      <c r="Q140" s="2">
        <f>ROUND(SUMIFS([1]Responses!$J$2:$J$4001,[1]Responses!$B$2:$B$4001,$A140,[1]Responses!$K$2:$K$4001,"Low"),2)</f>
        <v>12.42</v>
      </c>
      <c r="R140" s="2">
        <f>ROUND(SUMIFS([1]Responses!$AB$2:$AB$4001,[1]Responses!$B$2:$B$4001,$A140),2)</f>
        <v>26.48</v>
      </c>
      <c r="S140" t="str">
        <f>IF(R140&gt;='[1]Reward Model'!$B$8,"Gold",IF(R140&gt;='[1]Reward Model'!$B$9,"Silver","Bronze"))</f>
        <v>Silver</v>
      </c>
      <c r="T140" s="2">
        <f>ROUND(R140/'[1]Reward Model'!$B$7*100,2)</f>
        <v>64.59</v>
      </c>
    </row>
    <row r="141" spans="1:20" x14ac:dyDescent="0.25">
      <c r="A141" t="s">
        <v>164</v>
      </c>
      <c r="B141" t="s">
        <v>120</v>
      </c>
      <c r="C141" t="s">
        <v>53</v>
      </c>
      <c r="D141">
        <f t="shared" si="8"/>
        <v>20</v>
      </c>
      <c r="E141" s="2">
        <f t="shared" si="9"/>
        <v>33.090000000000003</v>
      </c>
      <c r="F141">
        <f>COUNTIFS([1]Responses!$B$2:$B$4001,$A141)</f>
        <v>20</v>
      </c>
      <c r="G141">
        <f t="shared" si="10"/>
        <v>15</v>
      </c>
      <c r="H141">
        <f t="shared" si="10"/>
        <v>5</v>
      </c>
      <c r="I141">
        <f>COUNTIFS([1]Responses!$B$2:$B$4001,$A141,[1]Responses!$K$2:$K$4001,"High",[1]Responses!$I$2:$I$4001,"Correct")</f>
        <v>3</v>
      </c>
      <c r="J141">
        <f>COUNTIFS([1]Responses!$B$2:$B$4001,$A141,[1]Responses!$K$2:$K$4001,"High",[1]Responses!$I$2:$I$4001,"Wrong")</f>
        <v>2</v>
      </c>
      <c r="K141" s="2">
        <f>ROUND(SUMIFS([1]Responses!$J$2:$J$4001,[1]Responses!$B$2:$B$4001,$A141,[1]Responses!$K$2:$K$4001,"High"),2)</f>
        <v>10.27</v>
      </c>
      <c r="L141">
        <f>COUNTIFS([1]Responses!$B$2:$B$4001,$A141,[1]Responses!$K$2:$K$4001,"Medium",[1]Responses!$I$2:$I$4001,"Correct")</f>
        <v>4</v>
      </c>
      <c r="M141">
        <f>COUNTIFS([1]Responses!$B$2:$B$4001,$A141,[1]Responses!$K$2:$K$4001,"Medium",[1]Responses!$I$2:$I$4001,"Wrong")</f>
        <v>2</v>
      </c>
      <c r="N141" s="2">
        <f>ROUND(SUMIFS([1]Responses!$J$2:$J$4001,[1]Responses!$B$2:$B$4001,$A141,[1]Responses!$K$2:$K$4001,"Medium"),2)</f>
        <v>10.87</v>
      </c>
      <c r="O141">
        <f>COUNTIFS([1]Responses!$B$2:$B$4001,$A141,[1]Responses!$K$2:$K$4001,"Low",[1]Responses!$I$2:$I$4001,"Correct")</f>
        <v>8</v>
      </c>
      <c r="P141">
        <f>COUNTIFS([1]Responses!$B$2:$B$4001,$A141,[1]Responses!$K$2:$K$4001,"Low",[1]Responses!$I$2:$I$4001,"Wrong")</f>
        <v>1</v>
      </c>
      <c r="Q141" s="2">
        <f>ROUND(SUMIFS([1]Responses!$J$2:$J$4001,[1]Responses!$B$2:$B$4001,$A141,[1]Responses!$K$2:$K$4001,"Low"),2)</f>
        <v>11.95</v>
      </c>
      <c r="R141" s="2">
        <f>ROUND(SUMIFS([1]Responses!$AB$2:$AB$4001,[1]Responses!$B$2:$B$4001,$A141),2)</f>
        <v>27.52</v>
      </c>
      <c r="S141" t="str">
        <f>IF(R141&gt;='[1]Reward Model'!$B$8,"Gold",IF(R141&gt;='[1]Reward Model'!$B$9,"Silver","Bronze"))</f>
        <v>Silver</v>
      </c>
      <c r="T141" s="2">
        <f>ROUND(R141/'[1]Reward Model'!$B$7*100,2)</f>
        <v>67.12</v>
      </c>
    </row>
    <row r="142" spans="1:20" x14ac:dyDescent="0.25">
      <c r="A142" t="s">
        <v>165</v>
      </c>
      <c r="B142" t="s">
        <v>120</v>
      </c>
      <c r="C142" t="s">
        <v>53</v>
      </c>
      <c r="D142">
        <f t="shared" si="8"/>
        <v>20</v>
      </c>
      <c r="E142" s="2">
        <f t="shared" si="9"/>
        <v>33.380000000000003</v>
      </c>
      <c r="F142">
        <f>COUNTIFS([1]Responses!$B$2:$B$4001,$A142)</f>
        <v>20</v>
      </c>
      <c r="G142">
        <f t="shared" si="10"/>
        <v>10</v>
      </c>
      <c r="H142">
        <f t="shared" si="10"/>
        <v>10</v>
      </c>
      <c r="I142">
        <f>COUNTIFS([1]Responses!$B$2:$B$4001,$A142,[1]Responses!$K$2:$K$4001,"High",[1]Responses!$I$2:$I$4001,"Correct")</f>
        <v>2</v>
      </c>
      <c r="J142">
        <f>COUNTIFS([1]Responses!$B$2:$B$4001,$A142,[1]Responses!$K$2:$K$4001,"High",[1]Responses!$I$2:$I$4001,"Wrong")</f>
        <v>3</v>
      </c>
      <c r="K142" s="2">
        <f>ROUND(SUMIFS([1]Responses!$J$2:$J$4001,[1]Responses!$B$2:$B$4001,$A142,[1]Responses!$K$2:$K$4001,"High"),2)</f>
        <v>9.9499999999999993</v>
      </c>
      <c r="L142">
        <f>COUNTIFS([1]Responses!$B$2:$B$4001,$A142,[1]Responses!$K$2:$K$4001,"Medium",[1]Responses!$I$2:$I$4001,"Correct")</f>
        <v>2</v>
      </c>
      <c r="M142">
        <f>COUNTIFS([1]Responses!$B$2:$B$4001,$A142,[1]Responses!$K$2:$K$4001,"Medium",[1]Responses!$I$2:$I$4001,"Wrong")</f>
        <v>4</v>
      </c>
      <c r="N142" s="2">
        <f>ROUND(SUMIFS([1]Responses!$J$2:$J$4001,[1]Responses!$B$2:$B$4001,$A142,[1]Responses!$K$2:$K$4001,"Medium"),2)</f>
        <v>10.99</v>
      </c>
      <c r="O142">
        <f>COUNTIFS([1]Responses!$B$2:$B$4001,$A142,[1]Responses!$K$2:$K$4001,"Low",[1]Responses!$I$2:$I$4001,"Correct")</f>
        <v>6</v>
      </c>
      <c r="P142">
        <f>COUNTIFS([1]Responses!$B$2:$B$4001,$A142,[1]Responses!$K$2:$K$4001,"Low",[1]Responses!$I$2:$I$4001,"Wrong")</f>
        <v>3</v>
      </c>
      <c r="Q142" s="2">
        <f>ROUND(SUMIFS([1]Responses!$J$2:$J$4001,[1]Responses!$B$2:$B$4001,$A142,[1]Responses!$K$2:$K$4001,"Low"),2)</f>
        <v>12.44</v>
      </c>
      <c r="R142" s="2">
        <f>ROUND(SUMIFS([1]Responses!$AB$2:$AB$4001,[1]Responses!$B$2:$B$4001,$A142),2)</f>
        <v>18.59</v>
      </c>
      <c r="S142" t="str">
        <f>IF(R142&gt;='[1]Reward Model'!$B$8,"Gold",IF(R142&gt;='[1]Reward Model'!$B$9,"Silver","Bronze"))</f>
        <v>Bronze</v>
      </c>
      <c r="T142" s="2">
        <f>ROUND(R142/'[1]Reward Model'!$B$7*100,2)</f>
        <v>45.34</v>
      </c>
    </row>
    <row r="143" spans="1:20" x14ac:dyDescent="0.25">
      <c r="A143" t="s">
        <v>166</v>
      </c>
      <c r="B143" t="s">
        <v>120</v>
      </c>
      <c r="C143" t="s">
        <v>53</v>
      </c>
      <c r="D143">
        <f t="shared" si="8"/>
        <v>20</v>
      </c>
      <c r="E143" s="2">
        <f t="shared" si="9"/>
        <v>31.85</v>
      </c>
      <c r="F143">
        <f>COUNTIFS([1]Responses!$B$2:$B$4001,$A143)</f>
        <v>20</v>
      </c>
      <c r="G143">
        <f t="shared" si="10"/>
        <v>14</v>
      </c>
      <c r="H143">
        <f t="shared" si="10"/>
        <v>6</v>
      </c>
      <c r="I143">
        <f>COUNTIFS([1]Responses!$B$2:$B$4001,$A143,[1]Responses!$K$2:$K$4001,"High",[1]Responses!$I$2:$I$4001,"Correct")</f>
        <v>2</v>
      </c>
      <c r="J143">
        <f>COUNTIFS([1]Responses!$B$2:$B$4001,$A143,[1]Responses!$K$2:$K$4001,"High",[1]Responses!$I$2:$I$4001,"Wrong")</f>
        <v>3</v>
      </c>
      <c r="K143" s="2">
        <f>ROUND(SUMIFS([1]Responses!$J$2:$J$4001,[1]Responses!$B$2:$B$4001,$A143,[1]Responses!$K$2:$K$4001,"High"),2)</f>
        <v>8.73</v>
      </c>
      <c r="L143">
        <f>COUNTIFS([1]Responses!$B$2:$B$4001,$A143,[1]Responses!$K$2:$K$4001,"Medium",[1]Responses!$I$2:$I$4001,"Correct")</f>
        <v>4</v>
      </c>
      <c r="M143">
        <f>COUNTIFS([1]Responses!$B$2:$B$4001,$A143,[1]Responses!$K$2:$K$4001,"Medium",[1]Responses!$I$2:$I$4001,"Wrong")</f>
        <v>2</v>
      </c>
      <c r="N143" s="2">
        <f>ROUND(SUMIFS([1]Responses!$J$2:$J$4001,[1]Responses!$B$2:$B$4001,$A143,[1]Responses!$K$2:$K$4001,"Medium"),2)</f>
        <v>9.67</v>
      </c>
      <c r="O143">
        <f>COUNTIFS([1]Responses!$B$2:$B$4001,$A143,[1]Responses!$K$2:$K$4001,"Low",[1]Responses!$I$2:$I$4001,"Correct")</f>
        <v>8</v>
      </c>
      <c r="P143">
        <f>COUNTIFS([1]Responses!$B$2:$B$4001,$A143,[1]Responses!$K$2:$K$4001,"Low",[1]Responses!$I$2:$I$4001,"Wrong")</f>
        <v>1</v>
      </c>
      <c r="Q143" s="2">
        <f>ROUND(SUMIFS([1]Responses!$J$2:$J$4001,[1]Responses!$B$2:$B$4001,$A143,[1]Responses!$K$2:$K$4001,"Low"),2)</f>
        <v>13.45</v>
      </c>
      <c r="R143" s="2">
        <f>ROUND(SUMIFS([1]Responses!$AB$2:$AB$4001,[1]Responses!$B$2:$B$4001,$A143),2)</f>
        <v>25.3</v>
      </c>
      <c r="S143" t="str">
        <f>IF(R143&gt;='[1]Reward Model'!$B$8,"Gold",IF(R143&gt;='[1]Reward Model'!$B$9,"Silver","Bronze"))</f>
        <v>Silver</v>
      </c>
      <c r="T143" s="2">
        <f>ROUND(R143/'[1]Reward Model'!$B$7*100,2)</f>
        <v>61.71</v>
      </c>
    </row>
    <row r="144" spans="1:20" x14ac:dyDescent="0.25">
      <c r="A144" t="s">
        <v>167</v>
      </c>
      <c r="B144" t="s">
        <v>120</v>
      </c>
      <c r="C144" t="s">
        <v>53</v>
      </c>
      <c r="D144">
        <f t="shared" si="8"/>
        <v>20</v>
      </c>
      <c r="E144" s="2">
        <f t="shared" si="9"/>
        <v>32.68</v>
      </c>
      <c r="F144">
        <f>COUNTIFS([1]Responses!$B$2:$B$4001,$A144)</f>
        <v>20</v>
      </c>
      <c r="G144">
        <f t="shared" si="10"/>
        <v>16</v>
      </c>
      <c r="H144">
        <f t="shared" si="10"/>
        <v>4</v>
      </c>
      <c r="I144">
        <f>COUNTIFS([1]Responses!$B$2:$B$4001,$A144,[1]Responses!$K$2:$K$4001,"High",[1]Responses!$I$2:$I$4001,"Correct")</f>
        <v>4</v>
      </c>
      <c r="J144">
        <f>COUNTIFS([1]Responses!$B$2:$B$4001,$A144,[1]Responses!$K$2:$K$4001,"High",[1]Responses!$I$2:$I$4001,"Wrong")</f>
        <v>1</v>
      </c>
      <c r="K144" s="2">
        <f>ROUND(SUMIFS([1]Responses!$J$2:$J$4001,[1]Responses!$B$2:$B$4001,$A144,[1]Responses!$K$2:$K$4001,"High"),2)</f>
        <v>10.51</v>
      </c>
      <c r="L144">
        <f>COUNTIFS([1]Responses!$B$2:$B$4001,$A144,[1]Responses!$K$2:$K$4001,"Medium",[1]Responses!$I$2:$I$4001,"Correct")</f>
        <v>4</v>
      </c>
      <c r="M144">
        <f>COUNTIFS([1]Responses!$B$2:$B$4001,$A144,[1]Responses!$K$2:$K$4001,"Medium",[1]Responses!$I$2:$I$4001,"Wrong")</f>
        <v>2</v>
      </c>
      <c r="N144" s="2">
        <f>ROUND(SUMIFS([1]Responses!$J$2:$J$4001,[1]Responses!$B$2:$B$4001,$A144,[1]Responses!$K$2:$K$4001,"Medium"),2)</f>
        <v>9.57</v>
      </c>
      <c r="O144">
        <f>COUNTIFS([1]Responses!$B$2:$B$4001,$A144,[1]Responses!$K$2:$K$4001,"Low",[1]Responses!$I$2:$I$4001,"Correct")</f>
        <v>8</v>
      </c>
      <c r="P144">
        <f>COUNTIFS([1]Responses!$B$2:$B$4001,$A144,[1]Responses!$K$2:$K$4001,"Low",[1]Responses!$I$2:$I$4001,"Wrong")</f>
        <v>1</v>
      </c>
      <c r="Q144" s="2">
        <f>ROUND(SUMIFS([1]Responses!$J$2:$J$4001,[1]Responses!$B$2:$B$4001,$A144,[1]Responses!$K$2:$K$4001,"Low"),2)</f>
        <v>12.6</v>
      </c>
      <c r="R144" s="2">
        <f>ROUND(SUMIFS([1]Responses!$AB$2:$AB$4001,[1]Responses!$B$2:$B$4001,$A144),2)</f>
        <v>30.58</v>
      </c>
      <c r="S144" t="str">
        <f>IF(R144&gt;='[1]Reward Model'!$B$8,"Gold",IF(R144&gt;='[1]Reward Model'!$B$9,"Silver","Bronze"))</f>
        <v>Gold</v>
      </c>
      <c r="T144" s="2">
        <f>ROUND(R144/'[1]Reward Model'!$B$7*100,2)</f>
        <v>74.59</v>
      </c>
    </row>
    <row r="145" spans="1:20" x14ac:dyDescent="0.25">
      <c r="A145" t="s">
        <v>168</v>
      </c>
      <c r="B145" t="s">
        <v>120</v>
      </c>
      <c r="C145" t="s">
        <v>53</v>
      </c>
      <c r="D145">
        <f t="shared" si="8"/>
        <v>20</v>
      </c>
      <c r="E145" s="2">
        <f t="shared" si="9"/>
        <v>35.130000000000003</v>
      </c>
      <c r="F145">
        <f>COUNTIFS([1]Responses!$B$2:$B$4001,$A145)</f>
        <v>20</v>
      </c>
      <c r="G145">
        <f t="shared" si="10"/>
        <v>16</v>
      </c>
      <c r="H145">
        <f t="shared" si="10"/>
        <v>4</v>
      </c>
      <c r="I145">
        <f>COUNTIFS([1]Responses!$B$2:$B$4001,$A145,[1]Responses!$K$2:$K$4001,"High",[1]Responses!$I$2:$I$4001,"Correct")</f>
        <v>4</v>
      </c>
      <c r="J145">
        <f>COUNTIFS([1]Responses!$B$2:$B$4001,$A145,[1]Responses!$K$2:$K$4001,"High",[1]Responses!$I$2:$I$4001,"Wrong")</f>
        <v>1</v>
      </c>
      <c r="K145" s="2">
        <f>ROUND(SUMIFS([1]Responses!$J$2:$J$4001,[1]Responses!$B$2:$B$4001,$A145,[1]Responses!$K$2:$K$4001,"High"),2)</f>
        <v>10.8</v>
      </c>
      <c r="L145">
        <f>COUNTIFS([1]Responses!$B$2:$B$4001,$A145,[1]Responses!$K$2:$K$4001,"Medium",[1]Responses!$I$2:$I$4001,"Correct")</f>
        <v>4</v>
      </c>
      <c r="M145">
        <f>COUNTIFS([1]Responses!$B$2:$B$4001,$A145,[1]Responses!$K$2:$K$4001,"Medium",[1]Responses!$I$2:$I$4001,"Wrong")</f>
        <v>2</v>
      </c>
      <c r="N145" s="2">
        <f>ROUND(SUMIFS([1]Responses!$J$2:$J$4001,[1]Responses!$B$2:$B$4001,$A145,[1]Responses!$K$2:$K$4001,"Medium"),2)</f>
        <v>10.76</v>
      </c>
      <c r="O145">
        <f>COUNTIFS([1]Responses!$B$2:$B$4001,$A145,[1]Responses!$K$2:$K$4001,"Low",[1]Responses!$I$2:$I$4001,"Correct")</f>
        <v>8</v>
      </c>
      <c r="P145">
        <f>COUNTIFS([1]Responses!$B$2:$B$4001,$A145,[1]Responses!$K$2:$K$4001,"Low",[1]Responses!$I$2:$I$4001,"Wrong")</f>
        <v>1</v>
      </c>
      <c r="Q145" s="2">
        <f>ROUND(SUMIFS([1]Responses!$J$2:$J$4001,[1]Responses!$B$2:$B$4001,$A145,[1]Responses!$K$2:$K$4001,"Low"),2)</f>
        <v>13.57</v>
      </c>
      <c r="R145" s="2">
        <f>ROUND(SUMIFS([1]Responses!$AB$2:$AB$4001,[1]Responses!$B$2:$B$4001,$A145),2)</f>
        <v>29.41</v>
      </c>
      <c r="S145" t="str">
        <f>IF(R145&gt;='[1]Reward Model'!$B$8,"Gold",IF(R145&gt;='[1]Reward Model'!$B$9,"Silver","Bronze"))</f>
        <v>Gold</v>
      </c>
      <c r="T145" s="2">
        <f>ROUND(R145/'[1]Reward Model'!$B$7*100,2)</f>
        <v>71.73</v>
      </c>
    </row>
    <row r="146" spans="1:20" x14ac:dyDescent="0.25">
      <c r="A146" t="s">
        <v>169</v>
      </c>
      <c r="B146" t="s">
        <v>120</v>
      </c>
      <c r="C146" t="s">
        <v>53</v>
      </c>
      <c r="D146">
        <f t="shared" si="8"/>
        <v>20</v>
      </c>
      <c r="E146" s="2">
        <f t="shared" si="9"/>
        <v>33.049999999999997</v>
      </c>
      <c r="F146">
        <f>COUNTIFS([1]Responses!$B$2:$B$4001,$A146)</f>
        <v>20</v>
      </c>
      <c r="G146">
        <f t="shared" si="10"/>
        <v>13</v>
      </c>
      <c r="H146">
        <f t="shared" si="10"/>
        <v>7</v>
      </c>
      <c r="I146">
        <f>COUNTIFS([1]Responses!$B$2:$B$4001,$A146,[1]Responses!$K$2:$K$4001,"High",[1]Responses!$I$2:$I$4001,"Correct")</f>
        <v>2</v>
      </c>
      <c r="J146">
        <f>COUNTIFS([1]Responses!$B$2:$B$4001,$A146,[1]Responses!$K$2:$K$4001,"High",[1]Responses!$I$2:$I$4001,"Wrong")</f>
        <v>3</v>
      </c>
      <c r="K146" s="2">
        <f>ROUND(SUMIFS([1]Responses!$J$2:$J$4001,[1]Responses!$B$2:$B$4001,$A146,[1]Responses!$K$2:$K$4001,"High"),2)</f>
        <v>10.36</v>
      </c>
      <c r="L146">
        <f>COUNTIFS([1]Responses!$B$2:$B$4001,$A146,[1]Responses!$K$2:$K$4001,"Medium",[1]Responses!$I$2:$I$4001,"Correct")</f>
        <v>3</v>
      </c>
      <c r="M146">
        <f>COUNTIFS([1]Responses!$B$2:$B$4001,$A146,[1]Responses!$K$2:$K$4001,"Medium",[1]Responses!$I$2:$I$4001,"Wrong")</f>
        <v>3</v>
      </c>
      <c r="N146" s="2">
        <f>ROUND(SUMIFS([1]Responses!$J$2:$J$4001,[1]Responses!$B$2:$B$4001,$A146,[1]Responses!$K$2:$K$4001,"Medium"),2)</f>
        <v>10.93</v>
      </c>
      <c r="O146">
        <f>COUNTIFS([1]Responses!$B$2:$B$4001,$A146,[1]Responses!$K$2:$K$4001,"Low",[1]Responses!$I$2:$I$4001,"Correct")</f>
        <v>8</v>
      </c>
      <c r="P146">
        <f>COUNTIFS([1]Responses!$B$2:$B$4001,$A146,[1]Responses!$K$2:$K$4001,"Low",[1]Responses!$I$2:$I$4001,"Wrong")</f>
        <v>1</v>
      </c>
      <c r="Q146" s="2">
        <f>ROUND(SUMIFS([1]Responses!$J$2:$J$4001,[1]Responses!$B$2:$B$4001,$A146,[1]Responses!$K$2:$K$4001,"Low"),2)</f>
        <v>11.76</v>
      </c>
      <c r="R146" s="2">
        <f>ROUND(SUMIFS([1]Responses!$AB$2:$AB$4001,[1]Responses!$B$2:$B$4001,$A146),2)</f>
        <v>22.83</v>
      </c>
      <c r="S146" t="str">
        <f>IF(R146&gt;='[1]Reward Model'!$B$8,"Gold",IF(R146&gt;='[1]Reward Model'!$B$9,"Silver","Bronze"))</f>
        <v>Silver</v>
      </c>
      <c r="T146" s="2">
        <f>ROUND(R146/'[1]Reward Model'!$B$7*100,2)</f>
        <v>55.68</v>
      </c>
    </row>
    <row r="147" spans="1:20" x14ac:dyDescent="0.25">
      <c r="A147" t="s">
        <v>170</v>
      </c>
      <c r="B147" t="s">
        <v>120</v>
      </c>
      <c r="C147" t="s">
        <v>53</v>
      </c>
      <c r="D147">
        <f t="shared" si="8"/>
        <v>20</v>
      </c>
      <c r="E147" s="2">
        <f t="shared" si="9"/>
        <v>30.96</v>
      </c>
      <c r="F147">
        <f>COUNTIFS([1]Responses!$B$2:$B$4001,$A147)</f>
        <v>20</v>
      </c>
      <c r="G147">
        <f t="shared" si="10"/>
        <v>9</v>
      </c>
      <c r="H147">
        <f t="shared" si="10"/>
        <v>11</v>
      </c>
      <c r="I147">
        <f>COUNTIFS([1]Responses!$B$2:$B$4001,$A147,[1]Responses!$K$2:$K$4001,"High",[1]Responses!$I$2:$I$4001,"Correct")</f>
        <v>3</v>
      </c>
      <c r="J147">
        <f>COUNTIFS([1]Responses!$B$2:$B$4001,$A147,[1]Responses!$K$2:$K$4001,"High",[1]Responses!$I$2:$I$4001,"Wrong")</f>
        <v>2</v>
      </c>
      <c r="K147" s="2">
        <f>ROUND(SUMIFS([1]Responses!$J$2:$J$4001,[1]Responses!$B$2:$B$4001,$A147,[1]Responses!$K$2:$K$4001,"High"),2)</f>
        <v>7.05</v>
      </c>
      <c r="L147">
        <f>COUNTIFS([1]Responses!$B$2:$B$4001,$A147,[1]Responses!$K$2:$K$4001,"Medium",[1]Responses!$I$2:$I$4001,"Correct")</f>
        <v>2</v>
      </c>
      <c r="M147">
        <f>COUNTIFS([1]Responses!$B$2:$B$4001,$A147,[1]Responses!$K$2:$K$4001,"Medium",[1]Responses!$I$2:$I$4001,"Wrong")</f>
        <v>4</v>
      </c>
      <c r="N147" s="2">
        <f>ROUND(SUMIFS([1]Responses!$J$2:$J$4001,[1]Responses!$B$2:$B$4001,$A147,[1]Responses!$K$2:$K$4001,"Medium"),2)</f>
        <v>10.42</v>
      </c>
      <c r="O147">
        <f>COUNTIFS([1]Responses!$B$2:$B$4001,$A147,[1]Responses!$K$2:$K$4001,"Low",[1]Responses!$I$2:$I$4001,"Correct")</f>
        <v>4</v>
      </c>
      <c r="P147">
        <f>COUNTIFS([1]Responses!$B$2:$B$4001,$A147,[1]Responses!$K$2:$K$4001,"Low",[1]Responses!$I$2:$I$4001,"Wrong")</f>
        <v>5</v>
      </c>
      <c r="Q147" s="2">
        <f>ROUND(SUMIFS([1]Responses!$J$2:$J$4001,[1]Responses!$B$2:$B$4001,$A147,[1]Responses!$K$2:$K$4001,"Low"),2)</f>
        <v>13.49</v>
      </c>
      <c r="R147" s="2">
        <f>ROUND(SUMIFS([1]Responses!$AB$2:$AB$4001,[1]Responses!$B$2:$B$4001,$A147),2)</f>
        <v>18.2</v>
      </c>
      <c r="S147" t="str">
        <f>IF(R147&gt;='[1]Reward Model'!$B$8,"Gold",IF(R147&gt;='[1]Reward Model'!$B$9,"Silver","Bronze"))</f>
        <v>Bronze</v>
      </c>
      <c r="T147" s="2">
        <f>ROUND(R147/'[1]Reward Model'!$B$7*100,2)</f>
        <v>44.39</v>
      </c>
    </row>
    <row r="148" spans="1:20" x14ac:dyDescent="0.25">
      <c r="A148" t="s">
        <v>171</v>
      </c>
      <c r="B148" t="s">
        <v>120</v>
      </c>
      <c r="C148" t="s">
        <v>53</v>
      </c>
      <c r="D148">
        <f t="shared" si="8"/>
        <v>20</v>
      </c>
      <c r="E148" s="2">
        <f t="shared" si="9"/>
        <v>30.69</v>
      </c>
      <c r="F148">
        <f>COUNTIFS([1]Responses!$B$2:$B$4001,$A148)</f>
        <v>20</v>
      </c>
      <c r="G148">
        <f t="shared" si="10"/>
        <v>14</v>
      </c>
      <c r="H148">
        <f t="shared" si="10"/>
        <v>6</v>
      </c>
      <c r="I148">
        <f>COUNTIFS([1]Responses!$B$2:$B$4001,$A148,[1]Responses!$K$2:$K$4001,"High",[1]Responses!$I$2:$I$4001,"Correct")</f>
        <v>1</v>
      </c>
      <c r="J148">
        <f>COUNTIFS([1]Responses!$B$2:$B$4001,$A148,[1]Responses!$K$2:$K$4001,"High",[1]Responses!$I$2:$I$4001,"Wrong")</f>
        <v>4</v>
      </c>
      <c r="K148" s="2">
        <f>ROUND(SUMIFS([1]Responses!$J$2:$J$4001,[1]Responses!$B$2:$B$4001,$A148,[1]Responses!$K$2:$K$4001,"High"),2)</f>
        <v>7.32</v>
      </c>
      <c r="L148">
        <f>COUNTIFS([1]Responses!$B$2:$B$4001,$A148,[1]Responses!$K$2:$K$4001,"Medium",[1]Responses!$I$2:$I$4001,"Correct")</f>
        <v>5</v>
      </c>
      <c r="M148">
        <f>COUNTIFS([1]Responses!$B$2:$B$4001,$A148,[1]Responses!$K$2:$K$4001,"Medium",[1]Responses!$I$2:$I$4001,"Wrong")</f>
        <v>1</v>
      </c>
      <c r="N148" s="2">
        <f>ROUND(SUMIFS([1]Responses!$J$2:$J$4001,[1]Responses!$B$2:$B$4001,$A148,[1]Responses!$K$2:$K$4001,"Medium"),2)</f>
        <v>10.199999999999999</v>
      </c>
      <c r="O148">
        <f>COUNTIFS([1]Responses!$B$2:$B$4001,$A148,[1]Responses!$K$2:$K$4001,"Low",[1]Responses!$I$2:$I$4001,"Correct")</f>
        <v>8</v>
      </c>
      <c r="P148">
        <f>COUNTIFS([1]Responses!$B$2:$B$4001,$A148,[1]Responses!$K$2:$K$4001,"Low",[1]Responses!$I$2:$I$4001,"Wrong")</f>
        <v>1</v>
      </c>
      <c r="Q148" s="2">
        <f>ROUND(SUMIFS([1]Responses!$J$2:$J$4001,[1]Responses!$B$2:$B$4001,$A148,[1]Responses!$K$2:$K$4001,"Low"),2)</f>
        <v>13.17</v>
      </c>
      <c r="R148" s="2">
        <f>ROUND(SUMIFS([1]Responses!$AB$2:$AB$4001,[1]Responses!$B$2:$B$4001,$A148),2)</f>
        <v>24.21</v>
      </c>
      <c r="S148" t="str">
        <f>IF(R148&gt;='[1]Reward Model'!$B$8,"Gold",IF(R148&gt;='[1]Reward Model'!$B$9,"Silver","Bronze"))</f>
        <v>Silver</v>
      </c>
      <c r="T148" s="2">
        <f>ROUND(R148/'[1]Reward Model'!$B$7*100,2)</f>
        <v>59.05</v>
      </c>
    </row>
    <row r="149" spans="1:20" x14ac:dyDescent="0.25">
      <c r="A149" t="s">
        <v>172</v>
      </c>
      <c r="B149" t="s">
        <v>120</v>
      </c>
      <c r="C149" t="s">
        <v>53</v>
      </c>
      <c r="D149">
        <f t="shared" si="8"/>
        <v>20</v>
      </c>
      <c r="E149" s="2">
        <f t="shared" si="9"/>
        <v>36.049999999999997</v>
      </c>
      <c r="F149">
        <f>COUNTIFS([1]Responses!$B$2:$B$4001,$A149)</f>
        <v>20</v>
      </c>
      <c r="G149">
        <f t="shared" si="10"/>
        <v>13</v>
      </c>
      <c r="H149">
        <f t="shared" si="10"/>
        <v>7</v>
      </c>
      <c r="I149">
        <f>COUNTIFS([1]Responses!$B$2:$B$4001,$A149,[1]Responses!$K$2:$K$4001,"High",[1]Responses!$I$2:$I$4001,"Correct")</f>
        <v>2</v>
      </c>
      <c r="J149">
        <f>COUNTIFS([1]Responses!$B$2:$B$4001,$A149,[1]Responses!$K$2:$K$4001,"High",[1]Responses!$I$2:$I$4001,"Wrong")</f>
        <v>3</v>
      </c>
      <c r="K149" s="2">
        <f>ROUND(SUMIFS([1]Responses!$J$2:$J$4001,[1]Responses!$B$2:$B$4001,$A149,[1]Responses!$K$2:$K$4001,"High"),2)</f>
        <v>11</v>
      </c>
      <c r="L149">
        <f>COUNTIFS([1]Responses!$B$2:$B$4001,$A149,[1]Responses!$K$2:$K$4001,"Medium",[1]Responses!$I$2:$I$4001,"Correct")</f>
        <v>4</v>
      </c>
      <c r="M149">
        <f>COUNTIFS([1]Responses!$B$2:$B$4001,$A149,[1]Responses!$K$2:$K$4001,"Medium",[1]Responses!$I$2:$I$4001,"Wrong")</f>
        <v>2</v>
      </c>
      <c r="N149" s="2">
        <f>ROUND(SUMIFS([1]Responses!$J$2:$J$4001,[1]Responses!$B$2:$B$4001,$A149,[1]Responses!$K$2:$K$4001,"Medium"),2)</f>
        <v>10.78</v>
      </c>
      <c r="O149">
        <f>COUNTIFS([1]Responses!$B$2:$B$4001,$A149,[1]Responses!$K$2:$K$4001,"Low",[1]Responses!$I$2:$I$4001,"Correct")</f>
        <v>7</v>
      </c>
      <c r="P149">
        <f>COUNTIFS([1]Responses!$B$2:$B$4001,$A149,[1]Responses!$K$2:$K$4001,"Low",[1]Responses!$I$2:$I$4001,"Wrong")</f>
        <v>2</v>
      </c>
      <c r="Q149" s="2">
        <f>ROUND(SUMIFS([1]Responses!$J$2:$J$4001,[1]Responses!$B$2:$B$4001,$A149,[1]Responses!$K$2:$K$4001,"Low"),2)</f>
        <v>14.27</v>
      </c>
      <c r="R149" s="2">
        <f>ROUND(SUMIFS([1]Responses!$AB$2:$AB$4001,[1]Responses!$B$2:$B$4001,$A149),2)</f>
        <v>22.34</v>
      </c>
      <c r="S149" t="str">
        <f>IF(R149&gt;='[1]Reward Model'!$B$8,"Gold",IF(R149&gt;='[1]Reward Model'!$B$9,"Silver","Bronze"))</f>
        <v>Silver</v>
      </c>
      <c r="T149" s="2">
        <f>ROUND(R149/'[1]Reward Model'!$B$7*100,2)</f>
        <v>54.49</v>
      </c>
    </row>
    <row r="150" spans="1:20" x14ac:dyDescent="0.25">
      <c r="A150" t="s">
        <v>173</v>
      </c>
      <c r="B150" t="s">
        <v>120</v>
      </c>
      <c r="C150" t="s">
        <v>53</v>
      </c>
      <c r="D150">
        <f t="shared" si="8"/>
        <v>20</v>
      </c>
      <c r="E150" s="2">
        <f t="shared" si="9"/>
        <v>31.71</v>
      </c>
      <c r="F150">
        <f>COUNTIFS([1]Responses!$B$2:$B$4001,$A150)</f>
        <v>20</v>
      </c>
      <c r="G150">
        <f t="shared" si="10"/>
        <v>16</v>
      </c>
      <c r="H150">
        <f t="shared" si="10"/>
        <v>4</v>
      </c>
      <c r="I150">
        <f>COUNTIFS([1]Responses!$B$2:$B$4001,$A150,[1]Responses!$K$2:$K$4001,"High",[1]Responses!$I$2:$I$4001,"Correct")</f>
        <v>4</v>
      </c>
      <c r="J150">
        <f>COUNTIFS([1]Responses!$B$2:$B$4001,$A150,[1]Responses!$K$2:$K$4001,"High",[1]Responses!$I$2:$I$4001,"Wrong")</f>
        <v>1</v>
      </c>
      <c r="K150" s="2">
        <f>ROUND(SUMIFS([1]Responses!$J$2:$J$4001,[1]Responses!$B$2:$B$4001,$A150,[1]Responses!$K$2:$K$4001,"High"),2)</f>
        <v>9.39</v>
      </c>
      <c r="L150">
        <f>COUNTIFS([1]Responses!$B$2:$B$4001,$A150,[1]Responses!$K$2:$K$4001,"Medium",[1]Responses!$I$2:$I$4001,"Correct")</f>
        <v>4</v>
      </c>
      <c r="M150">
        <f>COUNTIFS([1]Responses!$B$2:$B$4001,$A150,[1]Responses!$K$2:$K$4001,"Medium",[1]Responses!$I$2:$I$4001,"Wrong")</f>
        <v>2</v>
      </c>
      <c r="N150" s="2">
        <f>ROUND(SUMIFS([1]Responses!$J$2:$J$4001,[1]Responses!$B$2:$B$4001,$A150,[1]Responses!$K$2:$K$4001,"Medium"),2)</f>
        <v>9.25</v>
      </c>
      <c r="O150">
        <f>COUNTIFS([1]Responses!$B$2:$B$4001,$A150,[1]Responses!$K$2:$K$4001,"Low",[1]Responses!$I$2:$I$4001,"Correct")</f>
        <v>8</v>
      </c>
      <c r="P150">
        <f>COUNTIFS([1]Responses!$B$2:$B$4001,$A150,[1]Responses!$K$2:$K$4001,"Low",[1]Responses!$I$2:$I$4001,"Wrong")</f>
        <v>1</v>
      </c>
      <c r="Q150" s="2">
        <f>ROUND(SUMIFS([1]Responses!$J$2:$J$4001,[1]Responses!$B$2:$B$4001,$A150,[1]Responses!$K$2:$K$4001,"Low"),2)</f>
        <v>13.07</v>
      </c>
      <c r="R150" s="2">
        <f>ROUND(SUMIFS([1]Responses!$AB$2:$AB$4001,[1]Responses!$B$2:$B$4001,$A150),2)</f>
        <v>31.98</v>
      </c>
      <c r="S150" t="str">
        <f>IF(R150&gt;='[1]Reward Model'!$B$8,"Gold",IF(R150&gt;='[1]Reward Model'!$B$9,"Silver","Bronze"))</f>
        <v>Gold</v>
      </c>
      <c r="T150" s="2">
        <f>ROUND(R150/'[1]Reward Model'!$B$7*100,2)</f>
        <v>78</v>
      </c>
    </row>
    <row r="151" spans="1:20" x14ac:dyDescent="0.25">
      <c r="A151" t="s">
        <v>174</v>
      </c>
      <c r="B151" t="s">
        <v>120</v>
      </c>
      <c r="C151" t="s">
        <v>53</v>
      </c>
      <c r="D151">
        <f t="shared" si="8"/>
        <v>20</v>
      </c>
      <c r="E151" s="2">
        <f t="shared" si="9"/>
        <v>33.15</v>
      </c>
      <c r="F151">
        <f>COUNTIFS([1]Responses!$B$2:$B$4001,$A151)</f>
        <v>20</v>
      </c>
      <c r="G151">
        <f t="shared" si="10"/>
        <v>16</v>
      </c>
      <c r="H151">
        <f t="shared" si="10"/>
        <v>4</v>
      </c>
      <c r="I151">
        <f>COUNTIFS([1]Responses!$B$2:$B$4001,$A151,[1]Responses!$K$2:$K$4001,"High",[1]Responses!$I$2:$I$4001,"Correct")</f>
        <v>3</v>
      </c>
      <c r="J151">
        <f>COUNTIFS([1]Responses!$B$2:$B$4001,$A151,[1]Responses!$K$2:$K$4001,"High",[1]Responses!$I$2:$I$4001,"Wrong")</f>
        <v>2</v>
      </c>
      <c r="K151" s="2">
        <f>ROUND(SUMIFS([1]Responses!$J$2:$J$4001,[1]Responses!$B$2:$B$4001,$A151,[1]Responses!$K$2:$K$4001,"High"),2)</f>
        <v>10.07</v>
      </c>
      <c r="L151">
        <f>COUNTIFS([1]Responses!$B$2:$B$4001,$A151,[1]Responses!$K$2:$K$4001,"Medium",[1]Responses!$I$2:$I$4001,"Correct")</f>
        <v>5</v>
      </c>
      <c r="M151">
        <f>COUNTIFS([1]Responses!$B$2:$B$4001,$A151,[1]Responses!$K$2:$K$4001,"Medium",[1]Responses!$I$2:$I$4001,"Wrong")</f>
        <v>1</v>
      </c>
      <c r="N151" s="2">
        <f>ROUND(SUMIFS([1]Responses!$J$2:$J$4001,[1]Responses!$B$2:$B$4001,$A151,[1]Responses!$K$2:$K$4001,"Medium"),2)</f>
        <v>10.73</v>
      </c>
      <c r="O151">
        <f>COUNTIFS([1]Responses!$B$2:$B$4001,$A151,[1]Responses!$K$2:$K$4001,"Low",[1]Responses!$I$2:$I$4001,"Correct")</f>
        <v>8</v>
      </c>
      <c r="P151">
        <f>COUNTIFS([1]Responses!$B$2:$B$4001,$A151,[1]Responses!$K$2:$K$4001,"Low",[1]Responses!$I$2:$I$4001,"Wrong")</f>
        <v>1</v>
      </c>
      <c r="Q151" s="2">
        <f>ROUND(SUMIFS([1]Responses!$J$2:$J$4001,[1]Responses!$B$2:$B$4001,$A151,[1]Responses!$K$2:$K$4001,"Low"),2)</f>
        <v>12.35</v>
      </c>
      <c r="R151" s="2">
        <f>ROUND(SUMIFS([1]Responses!$AB$2:$AB$4001,[1]Responses!$B$2:$B$4001,$A151),2)</f>
        <v>29.19</v>
      </c>
      <c r="S151" t="str">
        <f>IF(R151&gt;='[1]Reward Model'!$B$8,"Gold",IF(R151&gt;='[1]Reward Model'!$B$9,"Silver","Bronze"))</f>
        <v>Gold</v>
      </c>
      <c r="T151" s="2">
        <f>ROUND(R151/'[1]Reward Model'!$B$7*100,2)</f>
        <v>71.2</v>
      </c>
    </row>
    <row r="152" spans="1:20" x14ac:dyDescent="0.25">
      <c r="A152" t="s">
        <v>175</v>
      </c>
      <c r="B152" t="s">
        <v>120</v>
      </c>
      <c r="C152" t="s">
        <v>53</v>
      </c>
      <c r="D152">
        <f t="shared" si="8"/>
        <v>20</v>
      </c>
      <c r="E152" s="2">
        <f t="shared" si="9"/>
        <v>33.549999999999997</v>
      </c>
      <c r="F152">
        <f>COUNTIFS([1]Responses!$B$2:$B$4001,$A152)</f>
        <v>20</v>
      </c>
      <c r="G152">
        <f t="shared" si="10"/>
        <v>14</v>
      </c>
      <c r="H152">
        <f t="shared" si="10"/>
        <v>6</v>
      </c>
      <c r="I152">
        <f>COUNTIFS([1]Responses!$B$2:$B$4001,$A152,[1]Responses!$K$2:$K$4001,"High",[1]Responses!$I$2:$I$4001,"Correct")</f>
        <v>2</v>
      </c>
      <c r="J152">
        <f>COUNTIFS([1]Responses!$B$2:$B$4001,$A152,[1]Responses!$K$2:$K$4001,"High",[1]Responses!$I$2:$I$4001,"Wrong")</f>
        <v>3</v>
      </c>
      <c r="K152" s="2">
        <f>ROUND(SUMIFS([1]Responses!$J$2:$J$4001,[1]Responses!$B$2:$B$4001,$A152,[1]Responses!$K$2:$K$4001,"High"),2)</f>
        <v>9.49</v>
      </c>
      <c r="L152">
        <f>COUNTIFS([1]Responses!$B$2:$B$4001,$A152,[1]Responses!$K$2:$K$4001,"Medium",[1]Responses!$I$2:$I$4001,"Correct")</f>
        <v>5</v>
      </c>
      <c r="M152">
        <f>COUNTIFS([1]Responses!$B$2:$B$4001,$A152,[1]Responses!$K$2:$K$4001,"Medium",[1]Responses!$I$2:$I$4001,"Wrong")</f>
        <v>1</v>
      </c>
      <c r="N152" s="2">
        <f>ROUND(SUMIFS([1]Responses!$J$2:$J$4001,[1]Responses!$B$2:$B$4001,$A152,[1]Responses!$K$2:$K$4001,"Medium"),2)</f>
        <v>10.9</v>
      </c>
      <c r="O152">
        <f>COUNTIFS([1]Responses!$B$2:$B$4001,$A152,[1]Responses!$K$2:$K$4001,"Low",[1]Responses!$I$2:$I$4001,"Correct")</f>
        <v>7</v>
      </c>
      <c r="P152">
        <f>COUNTIFS([1]Responses!$B$2:$B$4001,$A152,[1]Responses!$K$2:$K$4001,"Low",[1]Responses!$I$2:$I$4001,"Wrong")</f>
        <v>2</v>
      </c>
      <c r="Q152" s="2">
        <f>ROUND(SUMIFS([1]Responses!$J$2:$J$4001,[1]Responses!$B$2:$B$4001,$A152,[1]Responses!$K$2:$K$4001,"Low"),2)</f>
        <v>13.16</v>
      </c>
      <c r="R152" s="2">
        <f>ROUND(SUMIFS([1]Responses!$AB$2:$AB$4001,[1]Responses!$B$2:$B$4001,$A152),2)</f>
        <v>25.11</v>
      </c>
      <c r="S152" t="str">
        <f>IF(R152&gt;='[1]Reward Model'!$B$8,"Gold",IF(R152&gt;='[1]Reward Model'!$B$9,"Silver","Bronze"))</f>
        <v>Silver</v>
      </c>
      <c r="T152" s="2">
        <f>ROUND(R152/'[1]Reward Model'!$B$7*100,2)</f>
        <v>61.24</v>
      </c>
    </row>
    <row r="153" spans="1:20" x14ac:dyDescent="0.25">
      <c r="A153" t="s">
        <v>176</v>
      </c>
      <c r="B153" t="s">
        <v>120</v>
      </c>
      <c r="C153" t="s">
        <v>53</v>
      </c>
      <c r="D153">
        <f t="shared" si="8"/>
        <v>20</v>
      </c>
      <c r="E153" s="2">
        <f t="shared" si="9"/>
        <v>30.39</v>
      </c>
      <c r="F153">
        <f>COUNTIFS([1]Responses!$B$2:$B$4001,$A153)</f>
        <v>20</v>
      </c>
      <c r="G153">
        <f t="shared" si="10"/>
        <v>9</v>
      </c>
      <c r="H153">
        <f t="shared" si="10"/>
        <v>11</v>
      </c>
      <c r="I153">
        <f>COUNTIFS([1]Responses!$B$2:$B$4001,$A153,[1]Responses!$K$2:$K$4001,"High",[1]Responses!$I$2:$I$4001,"Correct")</f>
        <v>2</v>
      </c>
      <c r="J153">
        <f>COUNTIFS([1]Responses!$B$2:$B$4001,$A153,[1]Responses!$K$2:$K$4001,"High",[1]Responses!$I$2:$I$4001,"Wrong")</f>
        <v>3</v>
      </c>
      <c r="K153" s="2">
        <f>ROUND(SUMIFS([1]Responses!$J$2:$J$4001,[1]Responses!$B$2:$B$4001,$A153,[1]Responses!$K$2:$K$4001,"High"),2)</f>
        <v>8.36</v>
      </c>
      <c r="L153">
        <f>COUNTIFS([1]Responses!$B$2:$B$4001,$A153,[1]Responses!$K$2:$K$4001,"Medium",[1]Responses!$I$2:$I$4001,"Correct")</f>
        <v>1</v>
      </c>
      <c r="M153">
        <f>COUNTIFS([1]Responses!$B$2:$B$4001,$A153,[1]Responses!$K$2:$K$4001,"Medium",[1]Responses!$I$2:$I$4001,"Wrong")</f>
        <v>5</v>
      </c>
      <c r="N153" s="2">
        <f>ROUND(SUMIFS([1]Responses!$J$2:$J$4001,[1]Responses!$B$2:$B$4001,$A153,[1]Responses!$K$2:$K$4001,"Medium"),2)</f>
        <v>8.7100000000000009</v>
      </c>
      <c r="O153">
        <f>COUNTIFS([1]Responses!$B$2:$B$4001,$A153,[1]Responses!$K$2:$K$4001,"Low",[1]Responses!$I$2:$I$4001,"Correct")</f>
        <v>6</v>
      </c>
      <c r="P153">
        <f>COUNTIFS([1]Responses!$B$2:$B$4001,$A153,[1]Responses!$K$2:$K$4001,"Low",[1]Responses!$I$2:$I$4001,"Wrong")</f>
        <v>3</v>
      </c>
      <c r="Q153" s="2">
        <f>ROUND(SUMIFS([1]Responses!$J$2:$J$4001,[1]Responses!$B$2:$B$4001,$A153,[1]Responses!$K$2:$K$4001,"Low"),2)</f>
        <v>13.32</v>
      </c>
      <c r="R153" s="2">
        <f>ROUND(SUMIFS([1]Responses!$AB$2:$AB$4001,[1]Responses!$B$2:$B$4001,$A153),2)</f>
        <v>17.18</v>
      </c>
      <c r="S153" t="str">
        <f>IF(R153&gt;='[1]Reward Model'!$B$8,"Gold",IF(R153&gt;='[1]Reward Model'!$B$9,"Silver","Bronze"))</f>
        <v>Bronze</v>
      </c>
      <c r="T153" s="2">
        <f>ROUND(R153/'[1]Reward Model'!$B$7*100,2)</f>
        <v>41.9</v>
      </c>
    </row>
    <row r="154" spans="1:20" x14ac:dyDescent="0.25">
      <c r="A154" t="s">
        <v>177</v>
      </c>
      <c r="B154" t="s">
        <v>120</v>
      </c>
      <c r="C154" t="s">
        <v>53</v>
      </c>
      <c r="D154">
        <f t="shared" si="8"/>
        <v>20</v>
      </c>
      <c r="E154" s="2">
        <f t="shared" si="9"/>
        <v>32.94</v>
      </c>
      <c r="F154">
        <f>COUNTIFS([1]Responses!$B$2:$B$4001,$A154)</f>
        <v>20</v>
      </c>
      <c r="G154">
        <f t="shared" si="10"/>
        <v>14</v>
      </c>
      <c r="H154">
        <f t="shared" si="10"/>
        <v>6</v>
      </c>
      <c r="I154">
        <f>COUNTIFS([1]Responses!$B$2:$B$4001,$A154,[1]Responses!$K$2:$K$4001,"High",[1]Responses!$I$2:$I$4001,"Correct")</f>
        <v>1</v>
      </c>
      <c r="J154">
        <f>COUNTIFS([1]Responses!$B$2:$B$4001,$A154,[1]Responses!$K$2:$K$4001,"High",[1]Responses!$I$2:$I$4001,"Wrong")</f>
        <v>4</v>
      </c>
      <c r="K154" s="2">
        <f>ROUND(SUMIFS([1]Responses!$J$2:$J$4001,[1]Responses!$B$2:$B$4001,$A154,[1]Responses!$K$2:$K$4001,"High"),2)</f>
        <v>10.029999999999999</v>
      </c>
      <c r="L154">
        <f>COUNTIFS([1]Responses!$B$2:$B$4001,$A154,[1]Responses!$K$2:$K$4001,"Medium",[1]Responses!$I$2:$I$4001,"Correct")</f>
        <v>5</v>
      </c>
      <c r="M154">
        <f>COUNTIFS([1]Responses!$B$2:$B$4001,$A154,[1]Responses!$K$2:$K$4001,"Medium",[1]Responses!$I$2:$I$4001,"Wrong")</f>
        <v>1</v>
      </c>
      <c r="N154" s="2">
        <f>ROUND(SUMIFS([1]Responses!$J$2:$J$4001,[1]Responses!$B$2:$B$4001,$A154,[1]Responses!$K$2:$K$4001,"Medium"),2)</f>
        <v>10.43</v>
      </c>
      <c r="O154">
        <f>COUNTIFS([1]Responses!$B$2:$B$4001,$A154,[1]Responses!$K$2:$K$4001,"Low",[1]Responses!$I$2:$I$4001,"Correct")</f>
        <v>8</v>
      </c>
      <c r="P154">
        <f>COUNTIFS([1]Responses!$B$2:$B$4001,$A154,[1]Responses!$K$2:$K$4001,"Low",[1]Responses!$I$2:$I$4001,"Wrong")</f>
        <v>1</v>
      </c>
      <c r="Q154" s="2">
        <f>ROUND(SUMIFS([1]Responses!$J$2:$J$4001,[1]Responses!$B$2:$B$4001,$A154,[1]Responses!$K$2:$K$4001,"Low"),2)</f>
        <v>12.48</v>
      </c>
      <c r="R154" s="2">
        <f>ROUND(SUMIFS([1]Responses!$AB$2:$AB$4001,[1]Responses!$B$2:$B$4001,$A154),2)</f>
        <v>23.82</v>
      </c>
      <c r="S154" t="str">
        <f>IF(R154&gt;='[1]Reward Model'!$B$8,"Gold",IF(R154&gt;='[1]Reward Model'!$B$9,"Silver","Bronze"))</f>
        <v>Silver</v>
      </c>
      <c r="T154" s="2">
        <f>ROUND(R154/'[1]Reward Model'!$B$7*100,2)</f>
        <v>58.1</v>
      </c>
    </row>
    <row r="155" spans="1:20" x14ac:dyDescent="0.25">
      <c r="A155" t="s">
        <v>178</v>
      </c>
      <c r="B155" t="s">
        <v>120</v>
      </c>
      <c r="C155" t="s">
        <v>53</v>
      </c>
      <c r="D155">
        <f t="shared" si="8"/>
        <v>20</v>
      </c>
      <c r="E155" s="2">
        <f t="shared" si="9"/>
        <v>31.17</v>
      </c>
      <c r="F155">
        <f>COUNTIFS([1]Responses!$B$2:$B$4001,$A155)</f>
        <v>20</v>
      </c>
      <c r="G155">
        <f t="shared" si="10"/>
        <v>17</v>
      </c>
      <c r="H155">
        <f t="shared" si="10"/>
        <v>3</v>
      </c>
      <c r="I155">
        <f>COUNTIFS([1]Responses!$B$2:$B$4001,$A155,[1]Responses!$K$2:$K$4001,"High",[1]Responses!$I$2:$I$4001,"Correct")</f>
        <v>4</v>
      </c>
      <c r="J155">
        <f>COUNTIFS([1]Responses!$B$2:$B$4001,$A155,[1]Responses!$K$2:$K$4001,"High",[1]Responses!$I$2:$I$4001,"Wrong")</f>
        <v>1</v>
      </c>
      <c r="K155" s="2">
        <f>ROUND(SUMIFS([1]Responses!$J$2:$J$4001,[1]Responses!$B$2:$B$4001,$A155,[1]Responses!$K$2:$K$4001,"High"),2)</f>
        <v>8.34</v>
      </c>
      <c r="L155">
        <f>COUNTIFS([1]Responses!$B$2:$B$4001,$A155,[1]Responses!$K$2:$K$4001,"Medium",[1]Responses!$I$2:$I$4001,"Correct")</f>
        <v>5</v>
      </c>
      <c r="M155">
        <f>COUNTIFS([1]Responses!$B$2:$B$4001,$A155,[1]Responses!$K$2:$K$4001,"Medium",[1]Responses!$I$2:$I$4001,"Wrong")</f>
        <v>1</v>
      </c>
      <c r="N155" s="2">
        <f>ROUND(SUMIFS([1]Responses!$J$2:$J$4001,[1]Responses!$B$2:$B$4001,$A155,[1]Responses!$K$2:$K$4001,"Medium"),2)</f>
        <v>9.76</v>
      </c>
      <c r="O155">
        <f>COUNTIFS([1]Responses!$B$2:$B$4001,$A155,[1]Responses!$K$2:$K$4001,"Low",[1]Responses!$I$2:$I$4001,"Correct")</f>
        <v>8</v>
      </c>
      <c r="P155">
        <f>COUNTIFS([1]Responses!$B$2:$B$4001,$A155,[1]Responses!$K$2:$K$4001,"Low",[1]Responses!$I$2:$I$4001,"Wrong")</f>
        <v>1</v>
      </c>
      <c r="Q155" s="2">
        <f>ROUND(SUMIFS([1]Responses!$J$2:$J$4001,[1]Responses!$B$2:$B$4001,$A155,[1]Responses!$K$2:$K$4001,"Low"),2)</f>
        <v>13.07</v>
      </c>
      <c r="R155" s="2">
        <f>ROUND(SUMIFS([1]Responses!$AB$2:$AB$4001,[1]Responses!$B$2:$B$4001,$A155),2)</f>
        <v>32.9</v>
      </c>
      <c r="S155" t="str">
        <f>IF(R155&gt;='[1]Reward Model'!$B$8,"Gold",IF(R155&gt;='[1]Reward Model'!$B$9,"Silver","Bronze"))</f>
        <v>Gold</v>
      </c>
      <c r="T155" s="2">
        <f>ROUND(R155/'[1]Reward Model'!$B$7*100,2)</f>
        <v>80.239999999999995</v>
      </c>
    </row>
    <row r="156" spans="1:20" x14ac:dyDescent="0.25">
      <c r="A156" t="s">
        <v>179</v>
      </c>
      <c r="B156" t="s">
        <v>120</v>
      </c>
      <c r="C156" t="s">
        <v>53</v>
      </c>
      <c r="D156">
        <f t="shared" si="8"/>
        <v>20</v>
      </c>
      <c r="E156" s="2">
        <f t="shared" si="9"/>
        <v>31.85</v>
      </c>
      <c r="F156">
        <f>COUNTIFS([1]Responses!$B$2:$B$4001,$A156)</f>
        <v>20</v>
      </c>
      <c r="G156">
        <f t="shared" si="10"/>
        <v>11</v>
      </c>
      <c r="H156">
        <f t="shared" si="10"/>
        <v>9</v>
      </c>
      <c r="I156">
        <f>COUNTIFS([1]Responses!$B$2:$B$4001,$A156,[1]Responses!$K$2:$K$4001,"High",[1]Responses!$I$2:$I$4001,"Correct")</f>
        <v>1</v>
      </c>
      <c r="J156">
        <f>COUNTIFS([1]Responses!$B$2:$B$4001,$A156,[1]Responses!$K$2:$K$4001,"High",[1]Responses!$I$2:$I$4001,"Wrong")</f>
        <v>4</v>
      </c>
      <c r="K156" s="2">
        <f>ROUND(SUMIFS([1]Responses!$J$2:$J$4001,[1]Responses!$B$2:$B$4001,$A156,[1]Responses!$K$2:$K$4001,"High"),2)</f>
        <v>9.81</v>
      </c>
      <c r="L156">
        <f>COUNTIFS([1]Responses!$B$2:$B$4001,$A156,[1]Responses!$K$2:$K$4001,"Medium",[1]Responses!$I$2:$I$4001,"Correct")</f>
        <v>4</v>
      </c>
      <c r="M156">
        <f>COUNTIFS([1]Responses!$B$2:$B$4001,$A156,[1]Responses!$K$2:$K$4001,"Medium",[1]Responses!$I$2:$I$4001,"Wrong")</f>
        <v>2</v>
      </c>
      <c r="N156" s="2">
        <f>ROUND(SUMIFS([1]Responses!$J$2:$J$4001,[1]Responses!$B$2:$B$4001,$A156,[1]Responses!$K$2:$K$4001,"Medium"),2)</f>
        <v>9.36</v>
      </c>
      <c r="O156">
        <f>COUNTIFS([1]Responses!$B$2:$B$4001,$A156,[1]Responses!$K$2:$K$4001,"Low",[1]Responses!$I$2:$I$4001,"Correct")</f>
        <v>6</v>
      </c>
      <c r="P156">
        <f>COUNTIFS([1]Responses!$B$2:$B$4001,$A156,[1]Responses!$K$2:$K$4001,"Low",[1]Responses!$I$2:$I$4001,"Wrong")</f>
        <v>3</v>
      </c>
      <c r="Q156" s="2">
        <f>ROUND(SUMIFS([1]Responses!$J$2:$J$4001,[1]Responses!$B$2:$B$4001,$A156,[1]Responses!$K$2:$K$4001,"Low"),2)</f>
        <v>12.68</v>
      </c>
      <c r="R156" s="2">
        <f>ROUND(SUMIFS([1]Responses!$AB$2:$AB$4001,[1]Responses!$B$2:$B$4001,$A156),2)</f>
        <v>19.91</v>
      </c>
      <c r="S156" t="str">
        <f>IF(R156&gt;='[1]Reward Model'!$B$8,"Gold",IF(R156&gt;='[1]Reward Model'!$B$9,"Silver","Bronze"))</f>
        <v>Bronze</v>
      </c>
      <c r="T156" s="2">
        <f>ROUND(R156/'[1]Reward Model'!$B$7*100,2)</f>
        <v>48.56</v>
      </c>
    </row>
    <row r="157" spans="1:20" x14ac:dyDescent="0.25">
      <c r="A157" t="s">
        <v>180</v>
      </c>
      <c r="B157" t="s">
        <v>120</v>
      </c>
      <c r="C157" t="s">
        <v>53</v>
      </c>
      <c r="D157">
        <f t="shared" si="8"/>
        <v>20</v>
      </c>
      <c r="E157" s="2">
        <f t="shared" si="9"/>
        <v>33.49</v>
      </c>
      <c r="F157">
        <f>COUNTIFS([1]Responses!$B$2:$B$4001,$A157)</f>
        <v>20</v>
      </c>
      <c r="G157">
        <f t="shared" si="10"/>
        <v>16</v>
      </c>
      <c r="H157">
        <f t="shared" si="10"/>
        <v>4</v>
      </c>
      <c r="I157">
        <f>COUNTIFS([1]Responses!$B$2:$B$4001,$A157,[1]Responses!$K$2:$K$4001,"High",[1]Responses!$I$2:$I$4001,"Correct")</f>
        <v>3</v>
      </c>
      <c r="J157">
        <f>COUNTIFS([1]Responses!$B$2:$B$4001,$A157,[1]Responses!$K$2:$K$4001,"High",[1]Responses!$I$2:$I$4001,"Wrong")</f>
        <v>2</v>
      </c>
      <c r="K157" s="2">
        <f>ROUND(SUMIFS([1]Responses!$J$2:$J$4001,[1]Responses!$B$2:$B$4001,$A157,[1]Responses!$K$2:$K$4001,"High"),2)</f>
        <v>9</v>
      </c>
      <c r="L157">
        <f>COUNTIFS([1]Responses!$B$2:$B$4001,$A157,[1]Responses!$K$2:$K$4001,"Medium",[1]Responses!$I$2:$I$4001,"Correct")</f>
        <v>5</v>
      </c>
      <c r="M157">
        <f>COUNTIFS([1]Responses!$B$2:$B$4001,$A157,[1]Responses!$K$2:$K$4001,"Medium",[1]Responses!$I$2:$I$4001,"Wrong")</f>
        <v>1</v>
      </c>
      <c r="N157" s="2">
        <f>ROUND(SUMIFS([1]Responses!$J$2:$J$4001,[1]Responses!$B$2:$B$4001,$A157,[1]Responses!$K$2:$K$4001,"Medium"),2)</f>
        <v>9.76</v>
      </c>
      <c r="O157">
        <f>COUNTIFS([1]Responses!$B$2:$B$4001,$A157,[1]Responses!$K$2:$K$4001,"Low",[1]Responses!$I$2:$I$4001,"Correct")</f>
        <v>8</v>
      </c>
      <c r="P157">
        <f>COUNTIFS([1]Responses!$B$2:$B$4001,$A157,[1]Responses!$K$2:$K$4001,"Low",[1]Responses!$I$2:$I$4001,"Wrong")</f>
        <v>1</v>
      </c>
      <c r="Q157" s="2">
        <f>ROUND(SUMIFS([1]Responses!$J$2:$J$4001,[1]Responses!$B$2:$B$4001,$A157,[1]Responses!$K$2:$K$4001,"Low"),2)</f>
        <v>14.73</v>
      </c>
      <c r="R157" s="2">
        <f>ROUND(SUMIFS([1]Responses!$AB$2:$AB$4001,[1]Responses!$B$2:$B$4001,$A157),2)</f>
        <v>28.42</v>
      </c>
      <c r="S157" t="str">
        <f>IF(R157&gt;='[1]Reward Model'!$B$8,"Gold",IF(R157&gt;='[1]Reward Model'!$B$9,"Silver","Bronze"))</f>
        <v>Silver</v>
      </c>
      <c r="T157" s="2">
        <f>ROUND(R157/'[1]Reward Model'!$B$7*100,2)</f>
        <v>69.319999999999993</v>
      </c>
    </row>
    <row r="158" spans="1:20" x14ac:dyDescent="0.25">
      <c r="A158" t="s">
        <v>181</v>
      </c>
      <c r="B158" t="s">
        <v>120</v>
      </c>
      <c r="C158" t="s">
        <v>53</v>
      </c>
      <c r="D158">
        <f t="shared" si="8"/>
        <v>20</v>
      </c>
      <c r="E158" s="2">
        <f t="shared" si="9"/>
        <v>32.58</v>
      </c>
      <c r="F158">
        <f>COUNTIFS([1]Responses!$B$2:$B$4001,$A158)</f>
        <v>20</v>
      </c>
      <c r="G158">
        <f t="shared" si="10"/>
        <v>11</v>
      </c>
      <c r="H158">
        <f t="shared" si="10"/>
        <v>9</v>
      </c>
      <c r="I158">
        <f>COUNTIFS([1]Responses!$B$2:$B$4001,$A158,[1]Responses!$K$2:$K$4001,"High",[1]Responses!$I$2:$I$4001,"Correct")</f>
        <v>1</v>
      </c>
      <c r="J158">
        <f>COUNTIFS([1]Responses!$B$2:$B$4001,$A158,[1]Responses!$K$2:$K$4001,"High",[1]Responses!$I$2:$I$4001,"Wrong")</f>
        <v>4</v>
      </c>
      <c r="K158" s="2">
        <f>ROUND(SUMIFS([1]Responses!$J$2:$J$4001,[1]Responses!$B$2:$B$4001,$A158,[1]Responses!$K$2:$K$4001,"High"),2)</f>
        <v>9.7899999999999991</v>
      </c>
      <c r="L158">
        <f>COUNTIFS([1]Responses!$B$2:$B$4001,$A158,[1]Responses!$K$2:$K$4001,"Medium",[1]Responses!$I$2:$I$4001,"Correct")</f>
        <v>3</v>
      </c>
      <c r="M158">
        <f>COUNTIFS([1]Responses!$B$2:$B$4001,$A158,[1]Responses!$K$2:$K$4001,"Medium",[1]Responses!$I$2:$I$4001,"Wrong")</f>
        <v>3</v>
      </c>
      <c r="N158" s="2">
        <f>ROUND(SUMIFS([1]Responses!$J$2:$J$4001,[1]Responses!$B$2:$B$4001,$A158,[1]Responses!$K$2:$K$4001,"Medium"),2)</f>
        <v>9.94</v>
      </c>
      <c r="O158">
        <f>COUNTIFS([1]Responses!$B$2:$B$4001,$A158,[1]Responses!$K$2:$K$4001,"Low",[1]Responses!$I$2:$I$4001,"Correct")</f>
        <v>7</v>
      </c>
      <c r="P158">
        <f>COUNTIFS([1]Responses!$B$2:$B$4001,$A158,[1]Responses!$K$2:$K$4001,"Low",[1]Responses!$I$2:$I$4001,"Wrong")</f>
        <v>2</v>
      </c>
      <c r="Q158" s="2">
        <f>ROUND(SUMIFS([1]Responses!$J$2:$J$4001,[1]Responses!$B$2:$B$4001,$A158,[1]Responses!$K$2:$K$4001,"Low"),2)</f>
        <v>12.85</v>
      </c>
      <c r="R158" s="2">
        <f>ROUND(SUMIFS([1]Responses!$AB$2:$AB$4001,[1]Responses!$B$2:$B$4001,$A158),2)</f>
        <v>19.37</v>
      </c>
      <c r="S158" t="str">
        <f>IF(R158&gt;='[1]Reward Model'!$B$8,"Gold",IF(R158&gt;='[1]Reward Model'!$B$9,"Silver","Bronze"))</f>
        <v>Bronze</v>
      </c>
      <c r="T158" s="2">
        <f>ROUND(R158/'[1]Reward Model'!$B$7*100,2)</f>
        <v>47.24</v>
      </c>
    </row>
    <row r="159" spans="1:20" x14ac:dyDescent="0.25">
      <c r="A159" t="s">
        <v>182</v>
      </c>
      <c r="B159" t="s">
        <v>120</v>
      </c>
      <c r="C159" t="s">
        <v>53</v>
      </c>
      <c r="D159">
        <f t="shared" si="8"/>
        <v>20</v>
      </c>
      <c r="E159" s="2">
        <f t="shared" si="9"/>
        <v>33.76</v>
      </c>
      <c r="F159">
        <f>COUNTIFS([1]Responses!$B$2:$B$4001,$A159)</f>
        <v>20</v>
      </c>
      <c r="G159">
        <f t="shared" si="10"/>
        <v>13</v>
      </c>
      <c r="H159">
        <f t="shared" si="10"/>
        <v>7</v>
      </c>
      <c r="I159">
        <f>COUNTIFS([1]Responses!$B$2:$B$4001,$A159,[1]Responses!$K$2:$K$4001,"High",[1]Responses!$I$2:$I$4001,"Correct")</f>
        <v>2</v>
      </c>
      <c r="J159">
        <f>COUNTIFS([1]Responses!$B$2:$B$4001,$A159,[1]Responses!$K$2:$K$4001,"High",[1]Responses!$I$2:$I$4001,"Wrong")</f>
        <v>3</v>
      </c>
      <c r="K159" s="2">
        <f>ROUND(SUMIFS([1]Responses!$J$2:$J$4001,[1]Responses!$B$2:$B$4001,$A159,[1]Responses!$K$2:$K$4001,"High"),2)</f>
        <v>8.9</v>
      </c>
      <c r="L159">
        <f>COUNTIFS([1]Responses!$B$2:$B$4001,$A159,[1]Responses!$K$2:$K$4001,"Medium",[1]Responses!$I$2:$I$4001,"Correct")</f>
        <v>5</v>
      </c>
      <c r="M159">
        <f>COUNTIFS([1]Responses!$B$2:$B$4001,$A159,[1]Responses!$K$2:$K$4001,"Medium",[1]Responses!$I$2:$I$4001,"Wrong")</f>
        <v>1</v>
      </c>
      <c r="N159" s="2">
        <f>ROUND(SUMIFS([1]Responses!$J$2:$J$4001,[1]Responses!$B$2:$B$4001,$A159,[1]Responses!$K$2:$K$4001,"Medium"),2)</f>
        <v>11.25</v>
      </c>
      <c r="O159">
        <f>COUNTIFS([1]Responses!$B$2:$B$4001,$A159,[1]Responses!$K$2:$K$4001,"Low",[1]Responses!$I$2:$I$4001,"Correct")</f>
        <v>6</v>
      </c>
      <c r="P159">
        <f>COUNTIFS([1]Responses!$B$2:$B$4001,$A159,[1]Responses!$K$2:$K$4001,"Low",[1]Responses!$I$2:$I$4001,"Wrong")</f>
        <v>3</v>
      </c>
      <c r="Q159" s="2">
        <f>ROUND(SUMIFS([1]Responses!$J$2:$J$4001,[1]Responses!$B$2:$B$4001,$A159,[1]Responses!$K$2:$K$4001,"Low"),2)</f>
        <v>13.61</v>
      </c>
      <c r="R159" s="2">
        <f>ROUND(SUMIFS([1]Responses!$AB$2:$AB$4001,[1]Responses!$B$2:$B$4001,$A159),2)</f>
        <v>22.89</v>
      </c>
      <c r="S159" t="str">
        <f>IF(R159&gt;='[1]Reward Model'!$B$8,"Gold",IF(R159&gt;='[1]Reward Model'!$B$9,"Silver","Bronze"))</f>
        <v>Silver</v>
      </c>
      <c r="T159" s="2">
        <f>ROUND(R159/'[1]Reward Model'!$B$7*100,2)</f>
        <v>55.83</v>
      </c>
    </row>
    <row r="160" spans="1:20" x14ac:dyDescent="0.25">
      <c r="A160" t="s">
        <v>183</v>
      </c>
      <c r="B160" t="s">
        <v>120</v>
      </c>
      <c r="C160" t="s">
        <v>53</v>
      </c>
      <c r="D160">
        <f t="shared" si="8"/>
        <v>20</v>
      </c>
      <c r="E160" s="2">
        <f t="shared" si="9"/>
        <v>33.79</v>
      </c>
      <c r="F160">
        <f>COUNTIFS([1]Responses!$B$2:$B$4001,$A160)</f>
        <v>20</v>
      </c>
      <c r="G160">
        <f t="shared" si="10"/>
        <v>13</v>
      </c>
      <c r="H160">
        <f t="shared" si="10"/>
        <v>7</v>
      </c>
      <c r="I160">
        <f>COUNTIFS([1]Responses!$B$2:$B$4001,$A160,[1]Responses!$K$2:$K$4001,"High",[1]Responses!$I$2:$I$4001,"Correct")</f>
        <v>1</v>
      </c>
      <c r="J160">
        <f>COUNTIFS([1]Responses!$B$2:$B$4001,$A160,[1]Responses!$K$2:$K$4001,"High",[1]Responses!$I$2:$I$4001,"Wrong")</f>
        <v>4</v>
      </c>
      <c r="K160" s="2">
        <f>ROUND(SUMIFS([1]Responses!$J$2:$J$4001,[1]Responses!$B$2:$B$4001,$A160,[1]Responses!$K$2:$K$4001,"High"),2)</f>
        <v>8.9499999999999993</v>
      </c>
      <c r="L160">
        <f>COUNTIFS([1]Responses!$B$2:$B$4001,$A160,[1]Responses!$K$2:$K$4001,"Medium",[1]Responses!$I$2:$I$4001,"Correct")</f>
        <v>4</v>
      </c>
      <c r="M160">
        <f>COUNTIFS([1]Responses!$B$2:$B$4001,$A160,[1]Responses!$K$2:$K$4001,"Medium",[1]Responses!$I$2:$I$4001,"Wrong")</f>
        <v>2</v>
      </c>
      <c r="N160" s="2">
        <f>ROUND(SUMIFS([1]Responses!$J$2:$J$4001,[1]Responses!$B$2:$B$4001,$A160,[1]Responses!$K$2:$K$4001,"Medium"),2)</f>
        <v>10.95</v>
      </c>
      <c r="O160">
        <f>COUNTIFS([1]Responses!$B$2:$B$4001,$A160,[1]Responses!$K$2:$K$4001,"Low",[1]Responses!$I$2:$I$4001,"Correct")</f>
        <v>8</v>
      </c>
      <c r="P160">
        <f>COUNTIFS([1]Responses!$B$2:$B$4001,$A160,[1]Responses!$K$2:$K$4001,"Low",[1]Responses!$I$2:$I$4001,"Wrong")</f>
        <v>1</v>
      </c>
      <c r="Q160" s="2">
        <f>ROUND(SUMIFS([1]Responses!$J$2:$J$4001,[1]Responses!$B$2:$B$4001,$A160,[1]Responses!$K$2:$K$4001,"Low"),2)</f>
        <v>13.89</v>
      </c>
      <c r="R160" s="2">
        <f>ROUND(SUMIFS([1]Responses!$AB$2:$AB$4001,[1]Responses!$B$2:$B$4001,$A160),2)</f>
        <v>22.64</v>
      </c>
      <c r="S160" t="str">
        <f>IF(R160&gt;='[1]Reward Model'!$B$8,"Gold",IF(R160&gt;='[1]Reward Model'!$B$9,"Silver","Bronze"))</f>
        <v>Silver</v>
      </c>
      <c r="T160" s="2">
        <f>ROUND(R160/'[1]Reward Model'!$B$7*100,2)</f>
        <v>55.22</v>
      </c>
    </row>
    <row r="161" spans="1:20" x14ac:dyDescent="0.25">
      <c r="A161" t="s">
        <v>184</v>
      </c>
      <c r="B161" t="s">
        <v>120</v>
      </c>
      <c r="C161" t="s">
        <v>53</v>
      </c>
      <c r="D161">
        <f t="shared" si="8"/>
        <v>20</v>
      </c>
      <c r="E161" s="2">
        <f t="shared" si="9"/>
        <v>33.25</v>
      </c>
      <c r="F161">
        <f>COUNTIFS([1]Responses!$B$2:$B$4001,$A161)</f>
        <v>20</v>
      </c>
      <c r="G161">
        <f t="shared" si="10"/>
        <v>16</v>
      </c>
      <c r="H161">
        <f t="shared" si="10"/>
        <v>4</v>
      </c>
      <c r="I161">
        <f>COUNTIFS([1]Responses!$B$2:$B$4001,$A161,[1]Responses!$K$2:$K$4001,"High",[1]Responses!$I$2:$I$4001,"Correct")</f>
        <v>3</v>
      </c>
      <c r="J161">
        <f>COUNTIFS([1]Responses!$B$2:$B$4001,$A161,[1]Responses!$K$2:$K$4001,"High",[1]Responses!$I$2:$I$4001,"Wrong")</f>
        <v>2</v>
      </c>
      <c r="K161" s="2">
        <f>ROUND(SUMIFS([1]Responses!$J$2:$J$4001,[1]Responses!$B$2:$B$4001,$A161,[1]Responses!$K$2:$K$4001,"High"),2)</f>
        <v>9.8000000000000007</v>
      </c>
      <c r="L161">
        <f>COUNTIFS([1]Responses!$B$2:$B$4001,$A161,[1]Responses!$K$2:$K$4001,"Medium",[1]Responses!$I$2:$I$4001,"Correct")</f>
        <v>5</v>
      </c>
      <c r="M161">
        <f>COUNTIFS([1]Responses!$B$2:$B$4001,$A161,[1]Responses!$K$2:$K$4001,"Medium",[1]Responses!$I$2:$I$4001,"Wrong")</f>
        <v>1</v>
      </c>
      <c r="N161" s="2">
        <f>ROUND(SUMIFS([1]Responses!$J$2:$J$4001,[1]Responses!$B$2:$B$4001,$A161,[1]Responses!$K$2:$K$4001,"Medium"),2)</f>
        <v>10.99</v>
      </c>
      <c r="O161">
        <f>COUNTIFS([1]Responses!$B$2:$B$4001,$A161,[1]Responses!$K$2:$K$4001,"Low",[1]Responses!$I$2:$I$4001,"Correct")</f>
        <v>8</v>
      </c>
      <c r="P161">
        <f>COUNTIFS([1]Responses!$B$2:$B$4001,$A161,[1]Responses!$K$2:$K$4001,"Low",[1]Responses!$I$2:$I$4001,"Wrong")</f>
        <v>1</v>
      </c>
      <c r="Q161" s="2">
        <f>ROUND(SUMIFS([1]Responses!$J$2:$J$4001,[1]Responses!$B$2:$B$4001,$A161,[1]Responses!$K$2:$K$4001,"Low"),2)</f>
        <v>12.46</v>
      </c>
      <c r="R161" s="2">
        <f>ROUND(SUMIFS([1]Responses!$AB$2:$AB$4001,[1]Responses!$B$2:$B$4001,$A161),2)</f>
        <v>29.59</v>
      </c>
      <c r="S161" t="str">
        <f>IF(R161&gt;='[1]Reward Model'!$B$8,"Gold",IF(R161&gt;='[1]Reward Model'!$B$9,"Silver","Bronze"))</f>
        <v>Gold</v>
      </c>
      <c r="T161" s="2">
        <f>ROUND(R161/'[1]Reward Model'!$B$7*100,2)</f>
        <v>72.17</v>
      </c>
    </row>
    <row r="162" spans="1:20" x14ac:dyDescent="0.25">
      <c r="A162" t="s">
        <v>185</v>
      </c>
      <c r="B162" t="s">
        <v>120</v>
      </c>
      <c r="C162" t="s">
        <v>53</v>
      </c>
      <c r="D162">
        <f t="shared" si="8"/>
        <v>20</v>
      </c>
      <c r="E162" s="2">
        <f t="shared" si="9"/>
        <v>33.99</v>
      </c>
      <c r="F162">
        <f>COUNTIFS([1]Responses!$B$2:$B$4001,$A162)</f>
        <v>20</v>
      </c>
      <c r="G162">
        <f t="shared" ref="G162:H193" si="11">I162+L162+O162</f>
        <v>14</v>
      </c>
      <c r="H162">
        <f t="shared" si="11"/>
        <v>6</v>
      </c>
      <c r="I162">
        <f>COUNTIFS([1]Responses!$B$2:$B$4001,$A162,[1]Responses!$K$2:$K$4001,"High",[1]Responses!$I$2:$I$4001,"Correct")</f>
        <v>3</v>
      </c>
      <c r="J162">
        <f>COUNTIFS([1]Responses!$B$2:$B$4001,$A162,[1]Responses!$K$2:$K$4001,"High",[1]Responses!$I$2:$I$4001,"Wrong")</f>
        <v>2</v>
      </c>
      <c r="K162" s="2">
        <f>ROUND(SUMIFS([1]Responses!$J$2:$J$4001,[1]Responses!$B$2:$B$4001,$A162,[1]Responses!$K$2:$K$4001,"High"),2)</f>
        <v>9.65</v>
      </c>
      <c r="L162">
        <f>COUNTIFS([1]Responses!$B$2:$B$4001,$A162,[1]Responses!$K$2:$K$4001,"Medium",[1]Responses!$I$2:$I$4001,"Correct")</f>
        <v>3</v>
      </c>
      <c r="M162">
        <f>COUNTIFS([1]Responses!$B$2:$B$4001,$A162,[1]Responses!$K$2:$K$4001,"Medium",[1]Responses!$I$2:$I$4001,"Wrong")</f>
        <v>3</v>
      </c>
      <c r="N162" s="2">
        <f>ROUND(SUMIFS([1]Responses!$J$2:$J$4001,[1]Responses!$B$2:$B$4001,$A162,[1]Responses!$K$2:$K$4001,"Medium"),2)</f>
        <v>9.93</v>
      </c>
      <c r="O162">
        <f>COUNTIFS([1]Responses!$B$2:$B$4001,$A162,[1]Responses!$K$2:$K$4001,"Low",[1]Responses!$I$2:$I$4001,"Correct")</f>
        <v>8</v>
      </c>
      <c r="P162">
        <f>COUNTIFS([1]Responses!$B$2:$B$4001,$A162,[1]Responses!$K$2:$K$4001,"Low",[1]Responses!$I$2:$I$4001,"Wrong")</f>
        <v>1</v>
      </c>
      <c r="Q162" s="2">
        <f>ROUND(SUMIFS([1]Responses!$J$2:$J$4001,[1]Responses!$B$2:$B$4001,$A162,[1]Responses!$K$2:$K$4001,"Low"),2)</f>
        <v>14.41</v>
      </c>
      <c r="R162" s="2">
        <f>ROUND(SUMIFS([1]Responses!$AB$2:$AB$4001,[1]Responses!$B$2:$B$4001,$A162),2)</f>
        <v>25.66</v>
      </c>
      <c r="S162" t="str">
        <f>IF(R162&gt;='[1]Reward Model'!$B$8,"Gold",IF(R162&gt;='[1]Reward Model'!$B$9,"Silver","Bronze"))</f>
        <v>Silver</v>
      </c>
      <c r="T162" s="2">
        <f>ROUND(R162/'[1]Reward Model'!$B$7*100,2)</f>
        <v>62.59</v>
      </c>
    </row>
    <row r="163" spans="1:20" x14ac:dyDescent="0.25">
      <c r="A163" t="s">
        <v>186</v>
      </c>
      <c r="B163" t="s">
        <v>120</v>
      </c>
      <c r="C163" t="s">
        <v>53</v>
      </c>
      <c r="D163">
        <f t="shared" si="8"/>
        <v>20</v>
      </c>
      <c r="E163" s="2">
        <f t="shared" si="9"/>
        <v>34.75</v>
      </c>
      <c r="F163">
        <f>COUNTIFS([1]Responses!$B$2:$B$4001,$A163)</f>
        <v>20</v>
      </c>
      <c r="G163">
        <f t="shared" si="11"/>
        <v>15</v>
      </c>
      <c r="H163">
        <f t="shared" si="11"/>
        <v>5</v>
      </c>
      <c r="I163">
        <f>COUNTIFS([1]Responses!$B$2:$B$4001,$A163,[1]Responses!$K$2:$K$4001,"High",[1]Responses!$I$2:$I$4001,"Correct")</f>
        <v>2</v>
      </c>
      <c r="J163">
        <f>COUNTIFS([1]Responses!$B$2:$B$4001,$A163,[1]Responses!$K$2:$K$4001,"High",[1]Responses!$I$2:$I$4001,"Wrong")</f>
        <v>3</v>
      </c>
      <c r="K163" s="2">
        <f>ROUND(SUMIFS([1]Responses!$J$2:$J$4001,[1]Responses!$B$2:$B$4001,$A163,[1]Responses!$K$2:$K$4001,"High"),2)</f>
        <v>10.77</v>
      </c>
      <c r="L163">
        <f>COUNTIFS([1]Responses!$B$2:$B$4001,$A163,[1]Responses!$K$2:$K$4001,"Medium",[1]Responses!$I$2:$I$4001,"Correct")</f>
        <v>5</v>
      </c>
      <c r="M163">
        <f>COUNTIFS([1]Responses!$B$2:$B$4001,$A163,[1]Responses!$K$2:$K$4001,"Medium",[1]Responses!$I$2:$I$4001,"Wrong")</f>
        <v>1</v>
      </c>
      <c r="N163" s="2">
        <f>ROUND(SUMIFS([1]Responses!$J$2:$J$4001,[1]Responses!$B$2:$B$4001,$A163,[1]Responses!$K$2:$K$4001,"Medium"),2)</f>
        <v>12.23</v>
      </c>
      <c r="O163">
        <f>COUNTIFS([1]Responses!$B$2:$B$4001,$A163,[1]Responses!$K$2:$K$4001,"Low",[1]Responses!$I$2:$I$4001,"Correct")</f>
        <v>8</v>
      </c>
      <c r="P163">
        <f>COUNTIFS([1]Responses!$B$2:$B$4001,$A163,[1]Responses!$K$2:$K$4001,"Low",[1]Responses!$I$2:$I$4001,"Wrong")</f>
        <v>1</v>
      </c>
      <c r="Q163" s="2">
        <f>ROUND(SUMIFS([1]Responses!$J$2:$J$4001,[1]Responses!$B$2:$B$4001,$A163,[1]Responses!$K$2:$K$4001,"Low"),2)</f>
        <v>11.75</v>
      </c>
      <c r="R163" s="2">
        <f>ROUND(SUMIFS([1]Responses!$AB$2:$AB$4001,[1]Responses!$B$2:$B$4001,$A163),2)</f>
        <v>25.53</v>
      </c>
      <c r="S163" t="str">
        <f>IF(R163&gt;='[1]Reward Model'!$B$8,"Gold",IF(R163&gt;='[1]Reward Model'!$B$9,"Silver","Bronze"))</f>
        <v>Silver</v>
      </c>
      <c r="T163" s="2">
        <f>ROUND(R163/'[1]Reward Model'!$B$7*100,2)</f>
        <v>62.27</v>
      </c>
    </row>
    <row r="164" spans="1:20" x14ac:dyDescent="0.25">
      <c r="A164" t="s">
        <v>187</v>
      </c>
      <c r="B164" t="s">
        <v>120</v>
      </c>
      <c r="C164" t="s">
        <v>53</v>
      </c>
      <c r="D164">
        <f t="shared" si="8"/>
        <v>20</v>
      </c>
      <c r="E164" s="2">
        <f t="shared" si="9"/>
        <v>33.06</v>
      </c>
      <c r="F164">
        <f>COUNTIFS([1]Responses!$B$2:$B$4001,$A164)</f>
        <v>20</v>
      </c>
      <c r="G164">
        <f t="shared" si="11"/>
        <v>12</v>
      </c>
      <c r="H164">
        <f t="shared" si="11"/>
        <v>8</v>
      </c>
      <c r="I164">
        <f>COUNTIFS([1]Responses!$B$2:$B$4001,$A164,[1]Responses!$K$2:$K$4001,"High",[1]Responses!$I$2:$I$4001,"Correct")</f>
        <v>1</v>
      </c>
      <c r="J164">
        <f>COUNTIFS([1]Responses!$B$2:$B$4001,$A164,[1]Responses!$K$2:$K$4001,"High",[1]Responses!$I$2:$I$4001,"Wrong")</f>
        <v>4</v>
      </c>
      <c r="K164" s="2">
        <f>ROUND(SUMIFS([1]Responses!$J$2:$J$4001,[1]Responses!$B$2:$B$4001,$A164,[1]Responses!$K$2:$K$4001,"High"),2)</f>
        <v>9.67</v>
      </c>
      <c r="L164">
        <f>COUNTIFS([1]Responses!$B$2:$B$4001,$A164,[1]Responses!$K$2:$K$4001,"Medium",[1]Responses!$I$2:$I$4001,"Correct")</f>
        <v>4</v>
      </c>
      <c r="M164">
        <f>COUNTIFS([1]Responses!$B$2:$B$4001,$A164,[1]Responses!$K$2:$K$4001,"Medium",[1]Responses!$I$2:$I$4001,"Wrong")</f>
        <v>2</v>
      </c>
      <c r="N164" s="2">
        <f>ROUND(SUMIFS([1]Responses!$J$2:$J$4001,[1]Responses!$B$2:$B$4001,$A164,[1]Responses!$K$2:$K$4001,"Medium"),2)</f>
        <v>11.33</v>
      </c>
      <c r="O164">
        <f>COUNTIFS([1]Responses!$B$2:$B$4001,$A164,[1]Responses!$K$2:$K$4001,"Low",[1]Responses!$I$2:$I$4001,"Correct")</f>
        <v>7</v>
      </c>
      <c r="P164">
        <f>COUNTIFS([1]Responses!$B$2:$B$4001,$A164,[1]Responses!$K$2:$K$4001,"Low",[1]Responses!$I$2:$I$4001,"Wrong")</f>
        <v>2</v>
      </c>
      <c r="Q164" s="2">
        <f>ROUND(SUMIFS([1]Responses!$J$2:$J$4001,[1]Responses!$B$2:$B$4001,$A164,[1]Responses!$K$2:$K$4001,"Low"),2)</f>
        <v>12.06</v>
      </c>
      <c r="R164" s="2">
        <f>ROUND(SUMIFS([1]Responses!$AB$2:$AB$4001,[1]Responses!$B$2:$B$4001,$A164),2)</f>
        <v>19.899999999999999</v>
      </c>
      <c r="S164" t="str">
        <f>IF(R164&gt;='[1]Reward Model'!$B$8,"Gold",IF(R164&gt;='[1]Reward Model'!$B$9,"Silver","Bronze"))</f>
        <v>Bronze</v>
      </c>
      <c r="T164" s="2">
        <f>ROUND(R164/'[1]Reward Model'!$B$7*100,2)</f>
        <v>48.54</v>
      </c>
    </row>
    <row r="165" spans="1:20" x14ac:dyDescent="0.25">
      <c r="A165" t="s">
        <v>188</v>
      </c>
      <c r="B165" t="s">
        <v>120</v>
      </c>
      <c r="C165" t="s">
        <v>53</v>
      </c>
      <c r="D165">
        <f t="shared" si="8"/>
        <v>20</v>
      </c>
      <c r="E165" s="2">
        <f t="shared" si="9"/>
        <v>33.01</v>
      </c>
      <c r="F165">
        <f>COUNTIFS([1]Responses!$B$2:$B$4001,$A165)</f>
        <v>20</v>
      </c>
      <c r="G165">
        <f t="shared" si="11"/>
        <v>15</v>
      </c>
      <c r="H165">
        <f t="shared" si="11"/>
        <v>5</v>
      </c>
      <c r="I165">
        <f>COUNTIFS([1]Responses!$B$2:$B$4001,$A165,[1]Responses!$K$2:$K$4001,"High",[1]Responses!$I$2:$I$4001,"Correct")</f>
        <v>3</v>
      </c>
      <c r="J165">
        <f>COUNTIFS([1]Responses!$B$2:$B$4001,$A165,[1]Responses!$K$2:$K$4001,"High",[1]Responses!$I$2:$I$4001,"Wrong")</f>
        <v>2</v>
      </c>
      <c r="K165" s="2">
        <f>ROUND(SUMIFS([1]Responses!$J$2:$J$4001,[1]Responses!$B$2:$B$4001,$A165,[1]Responses!$K$2:$K$4001,"High"),2)</f>
        <v>8.89</v>
      </c>
      <c r="L165">
        <f>COUNTIFS([1]Responses!$B$2:$B$4001,$A165,[1]Responses!$K$2:$K$4001,"Medium",[1]Responses!$I$2:$I$4001,"Correct")</f>
        <v>4</v>
      </c>
      <c r="M165">
        <f>COUNTIFS([1]Responses!$B$2:$B$4001,$A165,[1]Responses!$K$2:$K$4001,"Medium",[1]Responses!$I$2:$I$4001,"Wrong")</f>
        <v>2</v>
      </c>
      <c r="N165" s="2">
        <f>ROUND(SUMIFS([1]Responses!$J$2:$J$4001,[1]Responses!$B$2:$B$4001,$A165,[1]Responses!$K$2:$K$4001,"Medium"),2)</f>
        <v>9.8000000000000007</v>
      </c>
      <c r="O165">
        <f>COUNTIFS([1]Responses!$B$2:$B$4001,$A165,[1]Responses!$K$2:$K$4001,"Low",[1]Responses!$I$2:$I$4001,"Correct")</f>
        <v>8</v>
      </c>
      <c r="P165">
        <f>COUNTIFS([1]Responses!$B$2:$B$4001,$A165,[1]Responses!$K$2:$K$4001,"Low",[1]Responses!$I$2:$I$4001,"Wrong")</f>
        <v>1</v>
      </c>
      <c r="Q165" s="2">
        <f>ROUND(SUMIFS([1]Responses!$J$2:$J$4001,[1]Responses!$B$2:$B$4001,$A165,[1]Responses!$K$2:$K$4001,"Low"),2)</f>
        <v>14.32</v>
      </c>
      <c r="R165" s="2">
        <f>ROUND(SUMIFS([1]Responses!$AB$2:$AB$4001,[1]Responses!$B$2:$B$4001,$A165),2)</f>
        <v>28.96</v>
      </c>
      <c r="S165" t="str">
        <f>IF(R165&gt;='[1]Reward Model'!$B$8,"Gold",IF(R165&gt;='[1]Reward Model'!$B$9,"Silver","Bronze"))</f>
        <v>Gold</v>
      </c>
      <c r="T165" s="2">
        <f>ROUND(R165/'[1]Reward Model'!$B$7*100,2)</f>
        <v>70.63</v>
      </c>
    </row>
    <row r="166" spans="1:20" x14ac:dyDescent="0.25">
      <c r="A166" t="s">
        <v>189</v>
      </c>
      <c r="B166" t="s">
        <v>120</v>
      </c>
      <c r="C166" t="s">
        <v>53</v>
      </c>
      <c r="D166">
        <f t="shared" si="8"/>
        <v>20</v>
      </c>
      <c r="E166" s="2">
        <f t="shared" si="9"/>
        <v>33.21</v>
      </c>
      <c r="F166">
        <f>COUNTIFS([1]Responses!$B$2:$B$4001,$A166)</f>
        <v>20</v>
      </c>
      <c r="G166">
        <f t="shared" si="11"/>
        <v>17</v>
      </c>
      <c r="H166">
        <f t="shared" si="11"/>
        <v>3</v>
      </c>
      <c r="I166">
        <f>COUNTIFS([1]Responses!$B$2:$B$4001,$A166,[1]Responses!$K$2:$K$4001,"High",[1]Responses!$I$2:$I$4001,"Correct")</f>
        <v>4</v>
      </c>
      <c r="J166">
        <f>COUNTIFS([1]Responses!$B$2:$B$4001,$A166,[1]Responses!$K$2:$K$4001,"High",[1]Responses!$I$2:$I$4001,"Wrong")</f>
        <v>1</v>
      </c>
      <c r="K166" s="2">
        <f>ROUND(SUMIFS([1]Responses!$J$2:$J$4001,[1]Responses!$B$2:$B$4001,$A166,[1]Responses!$K$2:$K$4001,"High"),2)</f>
        <v>8.85</v>
      </c>
      <c r="L166">
        <f>COUNTIFS([1]Responses!$B$2:$B$4001,$A166,[1]Responses!$K$2:$K$4001,"Medium",[1]Responses!$I$2:$I$4001,"Correct")</f>
        <v>5</v>
      </c>
      <c r="M166">
        <f>COUNTIFS([1]Responses!$B$2:$B$4001,$A166,[1]Responses!$K$2:$K$4001,"Medium",[1]Responses!$I$2:$I$4001,"Wrong")</f>
        <v>1</v>
      </c>
      <c r="N166" s="2">
        <f>ROUND(SUMIFS([1]Responses!$J$2:$J$4001,[1]Responses!$B$2:$B$4001,$A166,[1]Responses!$K$2:$K$4001,"Medium"),2)</f>
        <v>10.18</v>
      </c>
      <c r="O166">
        <f>COUNTIFS([1]Responses!$B$2:$B$4001,$A166,[1]Responses!$K$2:$K$4001,"Low",[1]Responses!$I$2:$I$4001,"Correct")</f>
        <v>8</v>
      </c>
      <c r="P166">
        <f>COUNTIFS([1]Responses!$B$2:$B$4001,$A166,[1]Responses!$K$2:$K$4001,"Low",[1]Responses!$I$2:$I$4001,"Wrong")</f>
        <v>1</v>
      </c>
      <c r="Q166" s="2">
        <f>ROUND(SUMIFS([1]Responses!$J$2:$J$4001,[1]Responses!$B$2:$B$4001,$A166,[1]Responses!$K$2:$K$4001,"Low"),2)</f>
        <v>14.18</v>
      </c>
      <c r="R166" s="2">
        <f>ROUND(SUMIFS([1]Responses!$AB$2:$AB$4001,[1]Responses!$B$2:$B$4001,$A166),2)</f>
        <v>32.15</v>
      </c>
      <c r="S166" t="str">
        <f>IF(R166&gt;='[1]Reward Model'!$B$8,"Gold",IF(R166&gt;='[1]Reward Model'!$B$9,"Silver","Bronze"))</f>
        <v>Gold</v>
      </c>
      <c r="T166" s="2">
        <f>ROUND(R166/'[1]Reward Model'!$B$7*100,2)</f>
        <v>78.41</v>
      </c>
    </row>
    <row r="167" spans="1:20" x14ac:dyDescent="0.25">
      <c r="A167" t="s">
        <v>190</v>
      </c>
      <c r="B167" t="s">
        <v>120</v>
      </c>
      <c r="C167" t="s">
        <v>53</v>
      </c>
      <c r="D167">
        <f t="shared" si="8"/>
        <v>20</v>
      </c>
      <c r="E167" s="2">
        <f t="shared" si="9"/>
        <v>31.9</v>
      </c>
      <c r="F167">
        <f>COUNTIFS([1]Responses!$B$2:$B$4001,$A167)</f>
        <v>20</v>
      </c>
      <c r="G167">
        <f t="shared" si="11"/>
        <v>14</v>
      </c>
      <c r="H167">
        <f t="shared" si="11"/>
        <v>6</v>
      </c>
      <c r="I167">
        <f>COUNTIFS([1]Responses!$B$2:$B$4001,$A167,[1]Responses!$K$2:$K$4001,"High",[1]Responses!$I$2:$I$4001,"Correct")</f>
        <v>1</v>
      </c>
      <c r="J167">
        <f>COUNTIFS([1]Responses!$B$2:$B$4001,$A167,[1]Responses!$K$2:$K$4001,"High",[1]Responses!$I$2:$I$4001,"Wrong")</f>
        <v>4</v>
      </c>
      <c r="K167" s="2">
        <f>ROUND(SUMIFS([1]Responses!$J$2:$J$4001,[1]Responses!$B$2:$B$4001,$A167,[1]Responses!$K$2:$K$4001,"High"),2)</f>
        <v>9.6199999999999992</v>
      </c>
      <c r="L167">
        <f>COUNTIFS([1]Responses!$B$2:$B$4001,$A167,[1]Responses!$K$2:$K$4001,"Medium",[1]Responses!$I$2:$I$4001,"Correct")</f>
        <v>5</v>
      </c>
      <c r="M167">
        <f>COUNTIFS([1]Responses!$B$2:$B$4001,$A167,[1]Responses!$K$2:$K$4001,"Medium",[1]Responses!$I$2:$I$4001,"Wrong")</f>
        <v>1</v>
      </c>
      <c r="N167" s="2">
        <f>ROUND(SUMIFS([1]Responses!$J$2:$J$4001,[1]Responses!$B$2:$B$4001,$A167,[1]Responses!$K$2:$K$4001,"Medium"),2)</f>
        <v>10.64</v>
      </c>
      <c r="O167">
        <f>COUNTIFS([1]Responses!$B$2:$B$4001,$A167,[1]Responses!$K$2:$K$4001,"Low",[1]Responses!$I$2:$I$4001,"Correct")</f>
        <v>8</v>
      </c>
      <c r="P167">
        <f>COUNTIFS([1]Responses!$B$2:$B$4001,$A167,[1]Responses!$K$2:$K$4001,"Low",[1]Responses!$I$2:$I$4001,"Wrong")</f>
        <v>1</v>
      </c>
      <c r="Q167" s="2">
        <f>ROUND(SUMIFS([1]Responses!$J$2:$J$4001,[1]Responses!$B$2:$B$4001,$A167,[1]Responses!$K$2:$K$4001,"Low"),2)</f>
        <v>11.64</v>
      </c>
      <c r="R167" s="2">
        <f>ROUND(SUMIFS([1]Responses!$AB$2:$AB$4001,[1]Responses!$B$2:$B$4001,$A167),2)</f>
        <v>24.25</v>
      </c>
      <c r="S167" t="str">
        <f>IF(R167&gt;='[1]Reward Model'!$B$8,"Gold",IF(R167&gt;='[1]Reward Model'!$B$9,"Silver","Bronze"))</f>
        <v>Silver</v>
      </c>
      <c r="T167" s="2">
        <f>ROUND(R167/'[1]Reward Model'!$B$7*100,2)</f>
        <v>59.15</v>
      </c>
    </row>
    <row r="168" spans="1:20" x14ac:dyDescent="0.25">
      <c r="A168" t="s">
        <v>191</v>
      </c>
      <c r="B168" t="s">
        <v>120</v>
      </c>
      <c r="C168" t="s">
        <v>53</v>
      </c>
      <c r="D168">
        <f t="shared" si="8"/>
        <v>20</v>
      </c>
      <c r="E168" s="2">
        <f t="shared" si="9"/>
        <v>28.64</v>
      </c>
      <c r="F168">
        <f>COUNTIFS([1]Responses!$B$2:$B$4001,$A168)</f>
        <v>20</v>
      </c>
      <c r="G168">
        <f t="shared" si="11"/>
        <v>13</v>
      </c>
      <c r="H168">
        <f t="shared" si="11"/>
        <v>7</v>
      </c>
      <c r="I168">
        <f>COUNTIFS([1]Responses!$B$2:$B$4001,$A168,[1]Responses!$K$2:$K$4001,"High",[1]Responses!$I$2:$I$4001,"Correct")</f>
        <v>2</v>
      </c>
      <c r="J168">
        <f>COUNTIFS([1]Responses!$B$2:$B$4001,$A168,[1]Responses!$K$2:$K$4001,"High",[1]Responses!$I$2:$I$4001,"Wrong")</f>
        <v>3</v>
      </c>
      <c r="K168" s="2">
        <f>ROUND(SUMIFS([1]Responses!$J$2:$J$4001,[1]Responses!$B$2:$B$4001,$A168,[1]Responses!$K$2:$K$4001,"High"),2)</f>
        <v>8.4600000000000009</v>
      </c>
      <c r="L168">
        <f>COUNTIFS([1]Responses!$B$2:$B$4001,$A168,[1]Responses!$K$2:$K$4001,"Medium",[1]Responses!$I$2:$I$4001,"Correct")</f>
        <v>3</v>
      </c>
      <c r="M168">
        <f>COUNTIFS([1]Responses!$B$2:$B$4001,$A168,[1]Responses!$K$2:$K$4001,"Medium",[1]Responses!$I$2:$I$4001,"Wrong")</f>
        <v>3</v>
      </c>
      <c r="N168" s="2">
        <f>ROUND(SUMIFS([1]Responses!$J$2:$J$4001,[1]Responses!$B$2:$B$4001,$A168,[1]Responses!$K$2:$K$4001,"Medium"),2)</f>
        <v>9.9499999999999993</v>
      </c>
      <c r="O168">
        <f>COUNTIFS([1]Responses!$B$2:$B$4001,$A168,[1]Responses!$K$2:$K$4001,"Low",[1]Responses!$I$2:$I$4001,"Correct")</f>
        <v>8</v>
      </c>
      <c r="P168">
        <f>COUNTIFS([1]Responses!$B$2:$B$4001,$A168,[1]Responses!$K$2:$K$4001,"Low",[1]Responses!$I$2:$I$4001,"Wrong")</f>
        <v>1</v>
      </c>
      <c r="Q168" s="2">
        <f>ROUND(SUMIFS([1]Responses!$J$2:$J$4001,[1]Responses!$B$2:$B$4001,$A168,[1]Responses!$K$2:$K$4001,"Low"),2)</f>
        <v>10.23</v>
      </c>
      <c r="R168" s="2">
        <f>ROUND(SUMIFS([1]Responses!$AB$2:$AB$4001,[1]Responses!$B$2:$B$4001,$A168),2)</f>
        <v>23.84</v>
      </c>
      <c r="S168" t="str">
        <f>IF(R168&gt;='[1]Reward Model'!$B$8,"Gold",IF(R168&gt;='[1]Reward Model'!$B$9,"Silver","Bronze"))</f>
        <v>Silver</v>
      </c>
      <c r="T168" s="2">
        <f>ROUND(R168/'[1]Reward Model'!$B$7*100,2)</f>
        <v>58.15</v>
      </c>
    </row>
    <row r="169" spans="1:20" x14ac:dyDescent="0.25">
      <c r="A169" t="s">
        <v>192</v>
      </c>
      <c r="B169" t="s">
        <v>120</v>
      </c>
      <c r="C169" t="s">
        <v>53</v>
      </c>
      <c r="D169">
        <f t="shared" si="8"/>
        <v>20</v>
      </c>
      <c r="E169" s="2">
        <f t="shared" si="9"/>
        <v>33.229999999999997</v>
      </c>
      <c r="F169">
        <f>COUNTIFS([1]Responses!$B$2:$B$4001,$A169)</f>
        <v>20</v>
      </c>
      <c r="G169">
        <f t="shared" si="11"/>
        <v>11</v>
      </c>
      <c r="H169">
        <f t="shared" si="11"/>
        <v>9</v>
      </c>
      <c r="I169">
        <f>COUNTIFS([1]Responses!$B$2:$B$4001,$A169,[1]Responses!$K$2:$K$4001,"High",[1]Responses!$I$2:$I$4001,"Correct")</f>
        <v>2</v>
      </c>
      <c r="J169">
        <f>COUNTIFS([1]Responses!$B$2:$B$4001,$A169,[1]Responses!$K$2:$K$4001,"High",[1]Responses!$I$2:$I$4001,"Wrong")</f>
        <v>3</v>
      </c>
      <c r="K169" s="2">
        <f>ROUND(SUMIFS([1]Responses!$J$2:$J$4001,[1]Responses!$B$2:$B$4001,$A169,[1]Responses!$K$2:$K$4001,"High"),2)</f>
        <v>11.04</v>
      </c>
      <c r="L169">
        <f>COUNTIFS([1]Responses!$B$2:$B$4001,$A169,[1]Responses!$K$2:$K$4001,"Medium",[1]Responses!$I$2:$I$4001,"Correct")</f>
        <v>1</v>
      </c>
      <c r="M169">
        <f>COUNTIFS([1]Responses!$B$2:$B$4001,$A169,[1]Responses!$K$2:$K$4001,"Medium",[1]Responses!$I$2:$I$4001,"Wrong")</f>
        <v>5</v>
      </c>
      <c r="N169" s="2">
        <f>ROUND(SUMIFS([1]Responses!$J$2:$J$4001,[1]Responses!$B$2:$B$4001,$A169,[1]Responses!$K$2:$K$4001,"Medium"),2)</f>
        <v>10.24</v>
      </c>
      <c r="O169">
        <f>COUNTIFS([1]Responses!$B$2:$B$4001,$A169,[1]Responses!$K$2:$K$4001,"Low",[1]Responses!$I$2:$I$4001,"Correct")</f>
        <v>8</v>
      </c>
      <c r="P169">
        <f>COUNTIFS([1]Responses!$B$2:$B$4001,$A169,[1]Responses!$K$2:$K$4001,"Low",[1]Responses!$I$2:$I$4001,"Wrong")</f>
        <v>1</v>
      </c>
      <c r="Q169" s="2">
        <f>ROUND(SUMIFS([1]Responses!$J$2:$J$4001,[1]Responses!$B$2:$B$4001,$A169,[1]Responses!$K$2:$K$4001,"Low"),2)</f>
        <v>11.95</v>
      </c>
      <c r="R169" s="2">
        <f>ROUND(SUMIFS([1]Responses!$AB$2:$AB$4001,[1]Responses!$B$2:$B$4001,$A169),2)</f>
        <v>18.93</v>
      </c>
      <c r="S169" t="str">
        <f>IF(R169&gt;='[1]Reward Model'!$B$8,"Gold",IF(R169&gt;='[1]Reward Model'!$B$9,"Silver","Bronze"))</f>
        <v>Bronze</v>
      </c>
      <c r="T169" s="2">
        <f>ROUND(R169/'[1]Reward Model'!$B$7*100,2)</f>
        <v>46.17</v>
      </c>
    </row>
    <row r="170" spans="1:20" x14ac:dyDescent="0.25">
      <c r="A170" t="s">
        <v>193</v>
      </c>
      <c r="B170" t="s">
        <v>120</v>
      </c>
      <c r="C170" t="s">
        <v>53</v>
      </c>
      <c r="D170">
        <f t="shared" si="8"/>
        <v>20</v>
      </c>
      <c r="E170" s="2">
        <f t="shared" si="9"/>
        <v>31.29</v>
      </c>
      <c r="F170">
        <f>COUNTIFS([1]Responses!$B$2:$B$4001,$A170)</f>
        <v>20</v>
      </c>
      <c r="G170">
        <f t="shared" si="11"/>
        <v>12</v>
      </c>
      <c r="H170">
        <f t="shared" si="11"/>
        <v>8</v>
      </c>
      <c r="I170">
        <f>COUNTIFS([1]Responses!$B$2:$B$4001,$A170,[1]Responses!$K$2:$K$4001,"High",[1]Responses!$I$2:$I$4001,"Correct")</f>
        <v>1</v>
      </c>
      <c r="J170">
        <f>COUNTIFS([1]Responses!$B$2:$B$4001,$A170,[1]Responses!$K$2:$K$4001,"High",[1]Responses!$I$2:$I$4001,"Wrong")</f>
        <v>4</v>
      </c>
      <c r="K170" s="2">
        <f>ROUND(SUMIFS([1]Responses!$J$2:$J$4001,[1]Responses!$B$2:$B$4001,$A170,[1]Responses!$K$2:$K$4001,"High"),2)</f>
        <v>8.98</v>
      </c>
      <c r="L170">
        <f>COUNTIFS([1]Responses!$B$2:$B$4001,$A170,[1]Responses!$K$2:$K$4001,"Medium",[1]Responses!$I$2:$I$4001,"Correct")</f>
        <v>3</v>
      </c>
      <c r="M170">
        <f>COUNTIFS([1]Responses!$B$2:$B$4001,$A170,[1]Responses!$K$2:$K$4001,"Medium",[1]Responses!$I$2:$I$4001,"Wrong")</f>
        <v>3</v>
      </c>
      <c r="N170" s="2">
        <f>ROUND(SUMIFS([1]Responses!$J$2:$J$4001,[1]Responses!$B$2:$B$4001,$A170,[1]Responses!$K$2:$K$4001,"Medium"),2)</f>
        <v>10.24</v>
      </c>
      <c r="O170">
        <f>COUNTIFS([1]Responses!$B$2:$B$4001,$A170,[1]Responses!$K$2:$K$4001,"Low",[1]Responses!$I$2:$I$4001,"Correct")</f>
        <v>8</v>
      </c>
      <c r="P170">
        <f>COUNTIFS([1]Responses!$B$2:$B$4001,$A170,[1]Responses!$K$2:$K$4001,"Low",[1]Responses!$I$2:$I$4001,"Wrong")</f>
        <v>1</v>
      </c>
      <c r="Q170" s="2">
        <f>ROUND(SUMIFS([1]Responses!$J$2:$J$4001,[1]Responses!$B$2:$B$4001,$A170,[1]Responses!$K$2:$K$4001,"Low"),2)</f>
        <v>12.07</v>
      </c>
      <c r="R170" s="2">
        <f>ROUND(SUMIFS([1]Responses!$AB$2:$AB$4001,[1]Responses!$B$2:$B$4001,$A170),2)</f>
        <v>20.190000000000001</v>
      </c>
      <c r="S170" t="str">
        <f>IF(R170&gt;='[1]Reward Model'!$B$8,"Gold",IF(R170&gt;='[1]Reward Model'!$B$9,"Silver","Bronze"))</f>
        <v>Bronze</v>
      </c>
      <c r="T170" s="2">
        <f>ROUND(R170/'[1]Reward Model'!$B$7*100,2)</f>
        <v>49.24</v>
      </c>
    </row>
    <row r="171" spans="1:20" x14ac:dyDescent="0.25">
      <c r="A171" t="s">
        <v>194</v>
      </c>
      <c r="B171" t="s">
        <v>120</v>
      </c>
      <c r="C171" t="s">
        <v>53</v>
      </c>
      <c r="D171">
        <f t="shared" si="8"/>
        <v>20</v>
      </c>
      <c r="E171" s="2">
        <f t="shared" si="9"/>
        <v>31.71</v>
      </c>
      <c r="F171">
        <f>COUNTIFS([1]Responses!$B$2:$B$4001,$A171)</f>
        <v>20</v>
      </c>
      <c r="G171">
        <f t="shared" si="11"/>
        <v>14</v>
      </c>
      <c r="H171">
        <f t="shared" si="11"/>
        <v>6</v>
      </c>
      <c r="I171">
        <f>COUNTIFS([1]Responses!$B$2:$B$4001,$A171,[1]Responses!$K$2:$K$4001,"High",[1]Responses!$I$2:$I$4001,"Correct")</f>
        <v>2</v>
      </c>
      <c r="J171">
        <f>COUNTIFS([1]Responses!$B$2:$B$4001,$A171,[1]Responses!$K$2:$K$4001,"High",[1]Responses!$I$2:$I$4001,"Wrong")</f>
        <v>3</v>
      </c>
      <c r="K171" s="2">
        <f>ROUND(SUMIFS([1]Responses!$J$2:$J$4001,[1]Responses!$B$2:$B$4001,$A171,[1]Responses!$K$2:$K$4001,"High"),2)</f>
        <v>9.83</v>
      </c>
      <c r="L171">
        <f>COUNTIFS([1]Responses!$B$2:$B$4001,$A171,[1]Responses!$K$2:$K$4001,"Medium",[1]Responses!$I$2:$I$4001,"Correct")</f>
        <v>4</v>
      </c>
      <c r="M171">
        <f>COUNTIFS([1]Responses!$B$2:$B$4001,$A171,[1]Responses!$K$2:$K$4001,"Medium",[1]Responses!$I$2:$I$4001,"Wrong")</f>
        <v>2</v>
      </c>
      <c r="N171" s="2">
        <f>ROUND(SUMIFS([1]Responses!$J$2:$J$4001,[1]Responses!$B$2:$B$4001,$A171,[1]Responses!$K$2:$K$4001,"Medium"),2)</f>
        <v>10.49</v>
      </c>
      <c r="O171">
        <f>COUNTIFS([1]Responses!$B$2:$B$4001,$A171,[1]Responses!$K$2:$K$4001,"Low",[1]Responses!$I$2:$I$4001,"Correct")</f>
        <v>8</v>
      </c>
      <c r="P171">
        <f>COUNTIFS([1]Responses!$B$2:$B$4001,$A171,[1]Responses!$K$2:$K$4001,"Low",[1]Responses!$I$2:$I$4001,"Wrong")</f>
        <v>1</v>
      </c>
      <c r="Q171" s="2">
        <f>ROUND(SUMIFS([1]Responses!$J$2:$J$4001,[1]Responses!$B$2:$B$4001,$A171,[1]Responses!$K$2:$K$4001,"Low"),2)</f>
        <v>11.39</v>
      </c>
      <c r="R171" s="2">
        <f>ROUND(SUMIFS([1]Responses!$AB$2:$AB$4001,[1]Responses!$B$2:$B$4001,$A171),2)</f>
        <v>25.74</v>
      </c>
      <c r="S171" t="str">
        <f>IF(R171&gt;='[1]Reward Model'!$B$8,"Gold",IF(R171&gt;='[1]Reward Model'!$B$9,"Silver","Bronze"))</f>
        <v>Silver</v>
      </c>
      <c r="T171" s="2">
        <f>ROUND(R171/'[1]Reward Model'!$B$7*100,2)</f>
        <v>62.78</v>
      </c>
    </row>
    <row r="172" spans="1:20" x14ac:dyDescent="0.25">
      <c r="A172" t="s">
        <v>195</v>
      </c>
      <c r="B172" t="s">
        <v>120</v>
      </c>
      <c r="C172" t="s">
        <v>53</v>
      </c>
      <c r="D172">
        <f t="shared" si="8"/>
        <v>20</v>
      </c>
      <c r="E172" s="2">
        <f t="shared" si="9"/>
        <v>30.39</v>
      </c>
      <c r="F172">
        <f>COUNTIFS([1]Responses!$B$2:$B$4001,$A172)</f>
        <v>20</v>
      </c>
      <c r="G172">
        <f t="shared" si="11"/>
        <v>12</v>
      </c>
      <c r="H172">
        <f t="shared" si="11"/>
        <v>8</v>
      </c>
      <c r="I172">
        <f>COUNTIFS([1]Responses!$B$2:$B$4001,$A172,[1]Responses!$K$2:$K$4001,"High",[1]Responses!$I$2:$I$4001,"Correct")</f>
        <v>1</v>
      </c>
      <c r="J172">
        <f>COUNTIFS([1]Responses!$B$2:$B$4001,$A172,[1]Responses!$K$2:$K$4001,"High",[1]Responses!$I$2:$I$4001,"Wrong")</f>
        <v>4</v>
      </c>
      <c r="K172" s="2">
        <f>ROUND(SUMIFS([1]Responses!$J$2:$J$4001,[1]Responses!$B$2:$B$4001,$A172,[1]Responses!$K$2:$K$4001,"High"),2)</f>
        <v>8.09</v>
      </c>
      <c r="L172">
        <f>COUNTIFS([1]Responses!$B$2:$B$4001,$A172,[1]Responses!$K$2:$K$4001,"Medium",[1]Responses!$I$2:$I$4001,"Correct")</f>
        <v>5</v>
      </c>
      <c r="M172">
        <f>COUNTIFS([1]Responses!$B$2:$B$4001,$A172,[1]Responses!$K$2:$K$4001,"Medium",[1]Responses!$I$2:$I$4001,"Wrong")</f>
        <v>1</v>
      </c>
      <c r="N172" s="2">
        <f>ROUND(SUMIFS([1]Responses!$J$2:$J$4001,[1]Responses!$B$2:$B$4001,$A172,[1]Responses!$K$2:$K$4001,"Medium"),2)</f>
        <v>10.199999999999999</v>
      </c>
      <c r="O172">
        <f>COUNTIFS([1]Responses!$B$2:$B$4001,$A172,[1]Responses!$K$2:$K$4001,"Low",[1]Responses!$I$2:$I$4001,"Correct")</f>
        <v>6</v>
      </c>
      <c r="P172">
        <f>COUNTIFS([1]Responses!$B$2:$B$4001,$A172,[1]Responses!$K$2:$K$4001,"Low",[1]Responses!$I$2:$I$4001,"Wrong")</f>
        <v>3</v>
      </c>
      <c r="Q172" s="2">
        <f>ROUND(SUMIFS([1]Responses!$J$2:$J$4001,[1]Responses!$B$2:$B$4001,$A172,[1]Responses!$K$2:$K$4001,"Low"),2)</f>
        <v>12.1</v>
      </c>
      <c r="R172" s="2">
        <f>ROUND(SUMIFS([1]Responses!$AB$2:$AB$4001,[1]Responses!$B$2:$B$4001,$A172),2)</f>
        <v>21.05</v>
      </c>
      <c r="S172" t="str">
        <f>IF(R172&gt;='[1]Reward Model'!$B$8,"Gold",IF(R172&gt;='[1]Reward Model'!$B$9,"Silver","Bronze"))</f>
        <v>Silver</v>
      </c>
      <c r="T172" s="2">
        <f>ROUND(R172/'[1]Reward Model'!$B$7*100,2)</f>
        <v>51.34</v>
      </c>
    </row>
    <row r="173" spans="1:20" x14ac:dyDescent="0.25">
      <c r="A173" t="s">
        <v>196</v>
      </c>
      <c r="B173" t="s">
        <v>120</v>
      </c>
      <c r="C173" t="s">
        <v>53</v>
      </c>
      <c r="D173">
        <f t="shared" si="8"/>
        <v>20</v>
      </c>
      <c r="E173" s="2">
        <f t="shared" si="9"/>
        <v>33.46</v>
      </c>
      <c r="F173">
        <f>COUNTIFS([1]Responses!$B$2:$B$4001,$A173)</f>
        <v>20</v>
      </c>
      <c r="G173">
        <f t="shared" si="11"/>
        <v>9</v>
      </c>
      <c r="H173">
        <f t="shared" si="11"/>
        <v>11</v>
      </c>
      <c r="I173">
        <f>COUNTIFS([1]Responses!$B$2:$B$4001,$A173,[1]Responses!$K$2:$K$4001,"High",[1]Responses!$I$2:$I$4001,"Correct")</f>
        <v>2</v>
      </c>
      <c r="J173">
        <f>COUNTIFS([1]Responses!$B$2:$B$4001,$A173,[1]Responses!$K$2:$K$4001,"High",[1]Responses!$I$2:$I$4001,"Wrong")</f>
        <v>3</v>
      </c>
      <c r="K173" s="2">
        <f>ROUND(SUMIFS([1]Responses!$J$2:$J$4001,[1]Responses!$B$2:$B$4001,$A173,[1]Responses!$K$2:$K$4001,"High"),2)</f>
        <v>10.9</v>
      </c>
      <c r="L173">
        <f>COUNTIFS([1]Responses!$B$2:$B$4001,$A173,[1]Responses!$K$2:$K$4001,"Medium",[1]Responses!$I$2:$I$4001,"Correct")</f>
        <v>3</v>
      </c>
      <c r="M173">
        <f>COUNTIFS([1]Responses!$B$2:$B$4001,$A173,[1]Responses!$K$2:$K$4001,"Medium",[1]Responses!$I$2:$I$4001,"Wrong")</f>
        <v>3</v>
      </c>
      <c r="N173" s="2">
        <f>ROUND(SUMIFS([1]Responses!$J$2:$J$4001,[1]Responses!$B$2:$B$4001,$A173,[1]Responses!$K$2:$K$4001,"Medium"),2)</f>
        <v>9.4600000000000009</v>
      </c>
      <c r="O173">
        <f>COUNTIFS([1]Responses!$B$2:$B$4001,$A173,[1]Responses!$K$2:$K$4001,"Low",[1]Responses!$I$2:$I$4001,"Correct")</f>
        <v>4</v>
      </c>
      <c r="P173">
        <f>COUNTIFS([1]Responses!$B$2:$B$4001,$A173,[1]Responses!$K$2:$K$4001,"Low",[1]Responses!$I$2:$I$4001,"Wrong")</f>
        <v>5</v>
      </c>
      <c r="Q173" s="2">
        <f>ROUND(SUMIFS([1]Responses!$J$2:$J$4001,[1]Responses!$B$2:$B$4001,$A173,[1]Responses!$K$2:$K$4001,"Low"),2)</f>
        <v>13.1</v>
      </c>
      <c r="R173" s="2">
        <f>ROUND(SUMIFS([1]Responses!$AB$2:$AB$4001,[1]Responses!$B$2:$B$4001,$A173),2)</f>
        <v>16.47</v>
      </c>
      <c r="S173" t="str">
        <f>IF(R173&gt;='[1]Reward Model'!$B$8,"Gold",IF(R173&gt;='[1]Reward Model'!$B$9,"Silver","Bronze"))</f>
        <v>Bronze</v>
      </c>
      <c r="T173" s="2">
        <f>ROUND(R173/'[1]Reward Model'!$B$7*100,2)</f>
        <v>40.17</v>
      </c>
    </row>
    <row r="174" spans="1:20" x14ac:dyDescent="0.25">
      <c r="A174" t="s">
        <v>197</v>
      </c>
      <c r="B174" t="s">
        <v>120</v>
      </c>
      <c r="C174" t="s">
        <v>53</v>
      </c>
      <c r="D174">
        <f t="shared" si="8"/>
        <v>20</v>
      </c>
      <c r="E174" s="2">
        <f t="shared" si="9"/>
        <v>33.950000000000003</v>
      </c>
      <c r="F174">
        <f>COUNTIFS([1]Responses!$B$2:$B$4001,$A174)</f>
        <v>20</v>
      </c>
      <c r="G174">
        <f t="shared" si="11"/>
        <v>12</v>
      </c>
      <c r="H174">
        <f t="shared" si="11"/>
        <v>8</v>
      </c>
      <c r="I174">
        <f>COUNTIFS([1]Responses!$B$2:$B$4001,$A174,[1]Responses!$K$2:$K$4001,"High",[1]Responses!$I$2:$I$4001,"Correct")</f>
        <v>1</v>
      </c>
      <c r="J174">
        <f>COUNTIFS([1]Responses!$B$2:$B$4001,$A174,[1]Responses!$K$2:$K$4001,"High",[1]Responses!$I$2:$I$4001,"Wrong")</f>
        <v>4</v>
      </c>
      <c r="K174" s="2">
        <f>ROUND(SUMIFS([1]Responses!$J$2:$J$4001,[1]Responses!$B$2:$B$4001,$A174,[1]Responses!$K$2:$K$4001,"High"),2)</f>
        <v>10.49</v>
      </c>
      <c r="L174">
        <f>COUNTIFS([1]Responses!$B$2:$B$4001,$A174,[1]Responses!$K$2:$K$4001,"Medium",[1]Responses!$I$2:$I$4001,"Correct")</f>
        <v>3</v>
      </c>
      <c r="M174">
        <f>COUNTIFS([1]Responses!$B$2:$B$4001,$A174,[1]Responses!$K$2:$K$4001,"Medium",[1]Responses!$I$2:$I$4001,"Wrong")</f>
        <v>3</v>
      </c>
      <c r="N174" s="2">
        <f>ROUND(SUMIFS([1]Responses!$J$2:$J$4001,[1]Responses!$B$2:$B$4001,$A174,[1]Responses!$K$2:$K$4001,"Medium"),2)</f>
        <v>11.09</v>
      </c>
      <c r="O174">
        <f>COUNTIFS([1]Responses!$B$2:$B$4001,$A174,[1]Responses!$K$2:$K$4001,"Low",[1]Responses!$I$2:$I$4001,"Correct")</f>
        <v>8</v>
      </c>
      <c r="P174">
        <f>COUNTIFS([1]Responses!$B$2:$B$4001,$A174,[1]Responses!$K$2:$K$4001,"Low",[1]Responses!$I$2:$I$4001,"Wrong")</f>
        <v>1</v>
      </c>
      <c r="Q174" s="2">
        <f>ROUND(SUMIFS([1]Responses!$J$2:$J$4001,[1]Responses!$B$2:$B$4001,$A174,[1]Responses!$K$2:$K$4001,"Low"),2)</f>
        <v>12.37</v>
      </c>
      <c r="R174" s="2">
        <f>ROUND(SUMIFS([1]Responses!$AB$2:$AB$4001,[1]Responses!$B$2:$B$4001,$A174),2)</f>
        <v>18.63</v>
      </c>
      <c r="S174" t="str">
        <f>IF(R174&gt;='[1]Reward Model'!$B$8,"Gold",IF(R174&gt;='[1]Reward Model'!$B$9,"Silver","Bronze"))</f>
        <v>Bronze</v>
      </c>
      <c r="T174" s="2">
        <f>ROUND(R174/'[1]Reward Model'!$B$7*100,2)</f>
        <v>45.44</v>
      </c>
    </row>
    <row r="175" spans="1:20" x14ac:dyDescent="0.25">
      <c r="A175" t="s">
        <v>198</v>
      </c>
      <c r="B175" t="s">
        <v>120</v>
      </c>
      <c r="C175" t="s">
        <v>53</v>
      </c>
      <c r="D175">
        <f t="shared" si="8"/>
        <v>20</v>
      </c>
      <c r="E175" s="2">
        <f t="shared" si="9"/>
        <v>32.08</v>
      </c>
      <c r="F175">
        <f>COUNTIFS([1]Responses!$B$2:$B$4001,$A175)</f>
        <v>20</v>
      </c>
      <c r="G175">
        <f t="shared" si="11"/>
        <v>14</v>
      </c>
      <c r="H175">
        <f t="shared" si="11"/>
        <v>6</v>
      </c>
      <c r="I175">
        <f>COUNTIFS([1]Responses!$B$2:$B$4001,$A175,[1]Responses!$K$2:$K$4001,"High",[1]Responses!$I$2:$I$4001,"Correct")</f>
        <v>2</v>
      </c>
      <c r="J175">
        <f>COUNTIFS([1]Responses!$B$2:$B$4001,$A175,[1]Responses!$K$2:$K$4001,"High",[1]Responses!$I$2:$I$4001,"Wrong")</f>
        <v>3</v>
      </c>
      <c r="K175" s="2">
        <f>ROUND(SUMIFS([1]Responses!$J$2:$J$4001,[1]Responses!$B$2:$B$4001,$A175,[1]Responses!$K$2:$K$4001,"High"),2)</f>
        <v>9</v>
      </c>
      <c r="L175">
        <f>COUNTIFS([1]Responses!$B$2:$B$4001,$A175,[1]Responses!$K$2:$K$4001,"Medium",[1]Responses!$I$2:$I$4001,"Correct")</f>
        <v>4</v>
      </c>
      <c r="M175">
        <f>COUNTIFS([1]Responses!$B$2:$B$4001,$A175,[1]Responses!$K$2:$K$4001,"Medium",[1]Responses!$I$2:$I$4001,"Wrong")</f>
        <v>2</v>
      </c>
      <c r="N175" s="2">
        <f>ROUND(SUMIFS([1]Responses!$J$2:$J$4001,[1]Responses!$B$2:$B$4001,$A175,[1]Responses!$K$2:$K$4001,"Medium"),2)</f>
        <v>9.92</v>
      </c>
      <c r="O175">
        <f>COUNTIFS([1]Responses!$B$2:$B$4001,$A175,[1]Responses!$K$2:$K$4001,"Low",[1]Responses!$I$2:$I$4001,"Correct")</f>
        <v>8</v>
      </c>
      <c r="P175">
        <f>COUNTIFS([1]Responses!$B$2:$B$4001,$A175,[1]Responses!$K$2:$K$4001,"Low",[1]Responses!$I$2:$I$4001,"Wrong")</f>
        <v>1</v>
      </c>
      <c r="Q175" s="2">
        <f>ROUND(SUMIFS([1]Responses!$J$2:$J$4001,[1]Responses!$B$2:$B$4001,$A175,[1]Responses!$K$2:$K$4001,"Low"),2)</f>
        <v>13.16</v>
      </c>
      <c r="R175" s="2">
        <f>ROUND(SUMIFS([1]Responses!$AB$2:$AB$4001,[1]Responses!$B$2:$B$4001,$A175),2)</f>
        <v>24.68</v>
      </c>
      <c r="S175" t="str">
        <f>IF(R175&gt;='[1]Reward Model'!$B$8,"Gold",IF(R175&gt;='[1]Reward Model'!$B$9,"Silver","Bronze"))</f>
        <v>Silver</v>
      </c>
      <c r="T175" s="2">
        <f>ROUND(R175/'[1]Reward Model'!$B$7*100,2)</f>
        <v>60.2</v>
      </c>
    </row>
    <row r="176" spans="1:20" x14ac:dyDescent="0.25">
      <c r="A176" t="s">
        <v>199</v>
      </c>
      <c r="B176" t="s">
        <v>120</v>
      </c>
      <c r="C176" t="s">
        <v>53</v>
      </c>
      <c r="D176">
        <f t="shared" si="8"/>
        <v>20</v>
      </c>
      <c r="E176" s="2">
        <f t="shared" si="9"/>
        <v>34.159999999999997</v>
      </c>
      <c r="F176">
        <f>COUNTIFS([1]Responses!$B$2:$B$4001,$A176)</f>
        <v>20</v>
      </c>
      <c r="G176">
        <f t="shared" si="11"/>
        <v>12</v>
      </c>
      <c r="H176">
        <f t="shared" si="11"/>
        <v>8</v>
      </c>
      <c r="I176">
        <f>COUNTIFS([1]Responses!$B$2:$B$4001,$A176,[1]Responses!$K$2:$K$4001,"High",[1]Responses!$I$2:$I$4001,"Correct")</f>
        <v>2</v>
      </c>
      <c r="J176">
        <f>COUNTIFS([1]Responses!$B$2:$B$4001,$A176,[1]Responses!$K$2:$K$4001,"High",[1]Responses!$I$2:$I$4001,"Wrong")</f>
        <v>3</v>
      </c>
      <c r="K176" s="2">
        <f>ROUND(SUMIFS([1]Responses!$J$2:$J$4001,[1]Responses!$B$2:$B$4001,$A176,[1]Responses!$K$2:$K$4001,"High"),2)</f>
        <v>10.35</v>
      </c>
      <c r="L176">
        <f>COUNTIFS([1]Responses!$B$2:$B$4001,$A176,[1]Responses!$K$2:$K$4001,"Medium",[1]Responses!$I$2:$I$4001,"Correct")</f>
        <v>3</v>
      </c>
      <c r="M176">
        <f>COUNTIFS([1]Responses!$B$2:$B$4001,$A176,[1]Responses!$K$2:$K$4001,"Medium",[1]Responses!$I$2:$I$4001,"Wrong")</f>
        <v>3</v>
      </c>
      <c r="N176" s="2">
        <f>ROUND(SUMIFS([1]Responses!$J$2:$J$4001,[1]Responses!$B$2:$B$4001,$A176,[1]Responses!$K$2:$K$4001,"Medium"),2)</f>
        <v>8.61</v>
      </c>
      <c r="O176">
        <f>COUNTIFS([1]Responses!$B$2:$B$4001,$A176,[1]Responses!$K$2:$K$4001,"Low",[1]Responses!$I$2:$I$4001,"Correct")</f>
        <v>7</v>
      </c>
      <c r="P176">
        <f>COUNTIFS([1]Responses!$B$2:$B$4001,$A176,[1]Responses!$K$2:$K$4001,"Low",[1]Responses!$I$2:$I$4001,"Wrong")</f>
        <v>2</v>
      </c>
      <c r="Q176" s="2">
        <f>ROUND(SUMIFS([1]Responses!$J$2:$J$4001,[1]Responses!$B$2:$B$4001,$A176,[1]Responses!$K$2:$K$4001,"Low"),2)</f>
        <v>15.2</v>
      </c>
      <c r="R176" s="2">
        <f>ROUND(SUMIFS([1]Responses!$AB$2:$AB$4001,[1]Responses!$B$2:$B$4001,$A176),2)</f>
        <v>21.25</v>
      </c>
      <c r="S176" t="str">
        <f>IF(R176&gt;='[1]Reward Model'!$B$8,"Gold",IF(R176&gt;='[1]Reward Model'!$B$9,"Silver","Bronze"))</f>
        <v>Silver</v>
      </c>
      <c r="T176" s="2">
        <f>ROUND(R176/'[1]Reward Model'!$B$7*100,2)</f>
        <v>51.83</v>
      </c>
    </row>
    <row r="177" spans="1:20" x14ac:dyDescent="0.25">
      <c r="A177" t="s">
        <v>200</v>
      </c>
      <c r="B177" t="s">
        <v>120</v>
      </c>
      <c r="C177" t="s">
        <v>53</v>
      </c>
      <c r="D177">
        <f t="shared" si="8"/>
        <v>20</v>
      </c>
      <c r="E177" s="2">
        <f t="shared" si="9"/>
        <v>34.549999999999997</v>
      </c>
      <c r="F177">
        <f>COUNTIFS([1]Responses!$B$2:$B$4001,$A177)</f>
        <v>20</v>
      </c>
      <c r="G177">
        <f t="shared" si="11"/>
        <v>11</v>
      </c>
      <c r="H177">
        <f t="shared" si="11"/>
        <v>9</v>
      </c>
      <c r="I177">
        <f>COUNTIFS([1]Responses!$B$2:$B$4001,$A177,[1]Responses!$K$2:$K$4001,"High",[1]Responses!$I$2:$I$4001,"Correct")</f>
        <v>3</v>
      </c>
      <c r="J177">
        <f>COUNTIFS([1]Responses!$B$2:$B$4001,$A177,[1]Responses!$K$2:$K$4001,"High",[1]Responses!$I$2:$I$4001,"Wrong")</f>
        <v>2</v>
      </c>
      <c r="K177" s="2">
        <f>ROUND(SUMIFS([1]Responses!$J$2:$J$4001,[1]Responses!$B$2:$B$4001,$A177,[1]Responses!$K$2:$K$4001,"High"),2)</f>
        <v>11.05</v>
      </c>
      <c r="L177">
        <f>COUNTIFS([1]Responses!$B$2:$B$4001,$A177,[1]Responses!$K$2:$K$4001,"Medium",[1]Responses!$I$2:$I$4001,"Correct")</f>
        <v>1</v>
      </c>
      <c r="M177">
        <f>COUNTIFS([1]Responses!$B$2:$B$4001,$A177,[1]Responses!$K$2:$K$4001,"Medium",[1]Responses!$I$2:$I$4001,"Wrong")</f>
        <v>5</v>
      </c>
      <c r="N177" s="2">
        <f>ROUND(SUMIFS([1]Responses!$J$2:$J$4001,[1]Responses!$B$2:$B$4001,$A177,[1]Responses!$K$2:$K$4001,"Medium"),2)</f>
        <v>9.8000000000000007</v>
      </c>
      <c r="O177">
        <f>COUNTIFS([1]Responses!$B$2:$B$4001,$A177,[1]Responses!$K$2:$K$4001,"Low",[1]Responses!$I$2:$I$4001,"Correct")</f>
        <v>7</v>
      </c>
      <c r="P177">
        <f>COUNTIFS([1]Responses!$B$2:$B$4001,$A177,[1]Responses!$K$2:$K$4001,"Low",[1]Responses!$I$2:$I$4001,"Wrong")</f>
        <v>2</v>
      </c>
      <c r="Q177" s="2">
        <f>ROUND(SUMIFS([1]Responses!$J$2:$J$4001,[1]Responses!$B$2:$B$4001,$A177,[1]Responses!$K$2:$K$4001,"Low"),2)</f>
        <v>13.7</v>
      </c>
      <c r="R177" s="2">
        <f>ROUND(SUMIFS([1]Responses!$AB$2:$AB$4001,[1]Responses!$B$2:$B$4001,$A177),2)</f>
        <v>19.87</v>
      </c>
      <c r="S177" t="str">
        <f>IF(R177&gt;='[1]Reward Model'!$B$8,"Gold",IF(R177&gt;='[1]Reward Model'!$B$9,"Silver","Bronze"))</f>
        <v>Bronze</v>
      </c>
      <c r="T177" s="2">
        <f>ROUND(R177/'[1]Reward Model'!$B$7*100,2)</f>
        <v>48.46</v>
      </c>
    </row>
    <row r="178" spans="1:20" x14ac:dyDescent="0.25">
      <c r="A178" t="s">
        <v>201</v>
      </c>
      <c r="B178" t="s">
        <v>120</v>
      </c>
      <c r="C178" t="s">
        <v>96</v>
      </c>
      <c r="D178">
        <f t="shared" si="8"/>
        <v>20</v>
      </c>
      <c r="E178" s="2">
        <f t="shared" si="9"/>
        <v>32.51</v>
      </c>
      <c r="F178">
        <f>COUNTIFS([1]Responses!$B$2:$B$4001,$A178)</f>
        <v>20</v>
      </c>
      <c r="G178">
        <f t="shared" si="11"/>
        <v>12</v>
      </c>
      <c r="H178">
        <f t="shared" si="11"/>
        <v>8</v>
      </c>
      <c r="I178">
        <f>COUNTIFS([1]Responses!$B$2:$B$4001,$A178,[1]Responses!$K$2:$K$4001,"High",[1]Responses!$I$2:$I$4001,"Correct")</f>
        <v>2</v>
      </c>
      <c r="J178">
        <f>COUNTIFS([1]Responses!$B$2:$B$4001,$A178,[1]Responses!$K$2:$K$4001,"High",[1]Responses!$I$2:$I$4001,"Wrong")</f>
        <v>3</v>
      </c>
      <c r="K178" s="2">
        <f>ROUND(SUMIFS([1]Responses!$J$2:$J$4001,[1]Responses!$B$2:$B$4001,$A178,[1]Responses!$K$2:$K$4001,"High"),2)</f>
        <v>9.02</v>
      </c>
      <c r="L178">
        <f>COUNTIFS([1]Responses!$B$2:$B$4001,$A178,[1]Responses!$K$2:$K$4001,"Medium",[1]Responses!$I$2:$I$4001,"Correct")</f>
        <v>3</v>
      </c>
      <c r="M178">
        <f>COUNTIFS([1]Responses!$B$2:$B$4001,$A178,[1]Responses!$K$2:$K$4001,"Medium",[1]Responses!$I$2:$I$4001,"Wrong")</f>
        <v>3</v>
      </c>
      <c r="N178" s="2">
        <f>ROUND(SUMIFS([1]Responses!$J$2:$J$4001,[1]Responses!$B$2:$B$4001,$A178,[1]Responses!$K$2:$K$4001,"Medium"),2)</f>
        <v>10.34</v>
      </c>
      <c r="O178">
        <f>COUNTIFS([1]Responses!$B$2:$B$4001,$A178,[1]Responses!$K$2:$K$4001,"Low",[1]Responses!$I$2:$I$4001,"Correct")</f>
        <v>7</v>
      </c>
      <c r="P178">
        <f>COUNTIFS([1]Responses!$B$2:$B$4001,$A178,[1]Responses!$K$2:$K$4001,"Low",[1]Responses!$I$2:$I$4001,"Wrong")</f>
        <v>2</v>
      </c>
      <c r="Q178" s="2">
        <f>ROUND(SUMIFS([1]Responses!$J$2:$J$4001,[1]Responses!$B$2:$B$4001,$A178,[1]Responses!$K$2:$K$4001,"Low"),2)</f>
        <v>13.15</v>
      </c>
      <c r="R178" s="2">
        <f>ROUND(SUMIFS([1]Responses!$AB$2:$AB$4001,[1]Responses!$B$2:$B$4001,$A178),2)</f>
        <v>21.33</v>
      </c>
      <c r="S178" t="str">
        <f>IF(R178&gt;='[1]Reward Model'!$B$8,"Gold",IF(R178&gt;='[1]Reward Model'!$B$9,"Silver","Bronze"))</f>
        <v>Silver</v>
      </c>
      <c r="T178" s="2">
        <f>ROUND(R178/'[1]Reward Model'!$B$7*100,2)</f>
        <v>52.02</v>
      </c>
    </row>
    <row r="179" spans="1:20" x14ac:dyDescent="0.25">
      <c r="A179" t="s">
        <v>202</v>
      </c>
      <c r="B179" t="s">
        <v>120</v>
      </c>
      <c r="C179" t="s">
        <v>96</v>
      </c>
      <c r="D179">
        <f t="shared" si="8"/>
        <v>20</v>
      </c>
      <c r="E179" s="2">
        <f t="shared" si="9"/>
        <v>30.72</v>
      </c>
      <c r="F179">
        <f>COUNTIFS([1]Responses!$B$2:$B$4001,$A179)</f>
        <v>20</v>
      </c>
      <c r="G179">
        <f t="shared" si="11"/>
        <v>9</v>
      </c>
      <c r="H179">
        <f t="shared" si="11"/>
        <v>11</v>
      </c>
      <c r="I179">
        <f>COUNTIFS([1]Responses!$B$2:$B$4001,$A179,[1]Responses!$K$2:$K$4001,"High",[1]Responses!$I$2:$I$4001,"Correct")</f>
        <v>1</v>
      </c>
      <c r="J179">
        <f>COUNTIFS([1]Responses!$B$2:$B$4001,$A179,[1]Responses!$K$2:$K$4001,"High",[1]Responses!$I$2:$I$4001,"Wrong")</f>
        <v>4</v>
      </c>
      <c r="K179" s="2">
        <f>ROUND(SUMIFS([1]Responses!$J$2:$J$4001,[1]Responses!$B$2:$B$4001,$A179,[1]Responses!$K$2:$K$4001,"High"),2)</f>
        <v>7.98</v>
      </c>
      <c r="L179">
        <f>COUNTIFS([1]Responses!$B$2:$B$4001,$A179,[1]Responses!$K$2:$K$4001,"Medium",[1]Responses!$I$2:$I$4001,"Correct")</f>
        <v>3</v>
      </c>
      <c r="M179">
        <f>COUNTIFS([1]Responses!$B$2:$B$4001,$A179,[1]Responses!$K$2:$K$4001,"Medium",[1]Responses!$I$2:$I$4001,"Wrong")</f>
        <v>3</v>
      </c>
      <c r="N179" s="2">
        <f>ROUND(SUMIFS([1]Responses!$J$2:$J$4001,[1]Responses!$B$2:$B$4001,$A179,[1]Responses!$K$2:$K$4001,"Medium"),2)</f>
        <v>11.45</v>
      </c>
      <c r="O179">
        <f>COUNTIFS([1]Responses!$B$2:$B$4001,$A179,[1]Responses!$K$2:$K$4001,"Low",[1]Responses!$I$2:$I$4001,"Correct")</f>
        <v>5</v>
      </c>
      <c r="P179">
        <f>COUNTIFS([1]Responses!$B$2:$B$4001,$A179,[1]Responses!$K$2:$K$4001,"Low",[1]Responses!$I$2:$I$4001,"Wrong")</f>
        <v>4</v>
      </c>
      <c r="Q179" s="2">
        <f>ROUND(SUMIFS([1]Responses!$J$2:$J$4001,[1]Responses!$B$2:$B$4001,$A179,[1]Responses!$K$2:$K$4001,"Low"),2)</f>
        <v>11.29</v>
      </c>
      <c r="R179" s="2">
        <f>ROUND(SUMIFS([1]Responses!$AB$2:$AB$4001,[1]Responses!$B$2:$B$4001,$A179),2)</f>
        <v>15.46</v>
      </c>
      <c r="S179" t="str">
        <f>IF(R179&gt;='[1]Reward Model'!$B$8,"Gold",IF(R179&gt;='[1]Reward Model'!$B$9,"Silver","Bronze"))</f>
        <v>Bronze</v>
      </c>
      <c r="T179" s="2">
        <f>ROUND(R179/'[1]Reward Model'!$B$7*100,2)</f>
        <v>37.71</v>
      </c>
    </row>
    <row r="180" spans="1:20" x14ac:dyDescent="0.25">
      <c r="A180" t="s">
        <v>203</v>
      </c>
      <c r="B180" t="s">
        <v>120</v>
      </c>
      <c r="C180" t="s">
        <v>96</v>
      </c>
      <c r="D180">
        <f t="shared" si="8"/>
        <v>20</v>
      </c>
      <c r="E180" s="2">
        <f t="shared" si="9"/>
        <v>34.82</v>
      </c>
      <c r="F180">
        <f>COUNTIFS([1]Responses!$B$2:$B$4001,$A180)</f>
        <v>20</v>
      </c>
      <c r="G180">
        <f t="shared" si="11"/>
        <v>12</v>
      </c>
      <c r="H180">
        <f t="shared" si="11"/>
        <v>8</v>
      </c>
      <c r="I180">
        <f>COUNTIFS([1]Responses!$B$2:$B$4001,$A180,[1]Responses!$K$2:$K$4001,"High",[1]Responses!$I$2:$I$4001,"Correct")</f>
        <v>1</v>
      </c>
      <c r="J180">
        <f>COUNTIFS([1]Responses!$B$2:$B$4001,$A180,[1]Responses!$K$2:$K$4001,"High",[1]Responses!$I$2:$I$4001,"Wrong")</f>
        <v>4</v>
      </c>
      <c r="K180" s="2">
        <f>ROUND(SUMIFS([1]Responses!$J$2:$J$4001,[1]Responses!$B$2:$B$4001,$A180,[1]Responses!$K$2:$K$4001,"High"),2)</f>
        <v>10.63</v>
      </c>
      <c r="L180">
        <f>COUNTIFS([1]Responses!$B$2:$B$4001,$A180,[1]Responses!$K$2:$K$4001,"Medium",[1]Responses!$I$2:$I$4001,"Correct")</f>
        <v>5</v>
      </c>
      <c r="M180">
        <f>COUNTIFS([1]Responses!$B$2:$B$4001,$A180,[1]Responses!$K$2:$K$4001,"Medium",[1]Responses!$I$2:$I$4001,"Wrong")</f>
        <v>1</v>
      </c>
      <c r="N180" s="2">
        <f>ROUND(SUMIFS([1]Responses!$J$2:$J$4001,[1]Responses!$B$2:$B$4001,$A180,[1]Responses!$K$2:$K$4001,"Medium"),2)</f>
        <v>10.82</v>
      </c>
      <c r="O180">
        <f>COUNTIFS([1]Responses!$B$2:$B$4001,$A180,[1]Responses!$K$2:$K$4001,"Low",[1]Responses!$I$2:$I$4001,"Correct")</f>
        <v>6</v>
      </c>
      <c r="P180">
        <f>COUNTIFS([1]Responses!$B$2:$B$4001,$A180,[1]Responses!$K$2:$K$4001,"Low",[1]Responses!$I$2:$I$4001,"Wrong")</f>
        <v>3</v>
      </c>
      <c r="Q180" s="2">
        <f>ROUND(SUMIFS([1]Responses!$J$2:$J$4001,[1]Responses!$B$2:$B$4001,$A180,[1]Responses!$K$2:$K$4001,"Low"),2)</f>
        <v>13.37</v>
      </c>
      <c r="R180" s="2">
        <f>ROUND(SUMIFS([1]Responses!$AB$2:$AB$4001,[1]Responses!$B$2:$B$4001,$A180),2)</f>
        <v>20.51</v>
      </c>
      <c r="S180" t="str">
        <f>IF(R180&gt;='[1]Reward Model'!$B$8,"Gold",IF(R180&gt;='[1]Reward Model'!$B$9,"Silver","Bronze"))</f>
        <v>Silver</v>
      </c>
      <c r="T180" s="2">
        <f>ROUND(R180/'[1]Reward Model'!$B$7*100,2)</f>
        <v>50.02</v>
      </c>
    </row>
    <row r="181" spans="1:20" x14ac:dyDescent="0.25">
      <c r="A181" t="s">
        <v>204</v>
      </c>
      <c r="B181" t="s">
        <v>120</v>
      </c>
      <c r="C181" t="s">
        <v>96</v>
      </c>
      <c r="D181">
        <f t="shared" si="8"/>
        <v>20</v>
      </c>
      <c r="E181" s="2">
        <f t="shared" si="9"/>
        <v>30.56</v>
      </c>
      <c r="F181">
        <f>COUNTIFS([1]Responses!$B$2:$B$4001,$A181)</f>
        <v>20</v>
      </c>
      <c r="G181">
        <f t="shared" si="11"/>
        <v>12</v>
      </c>
      <c r="H181">
        <f t="shared" si="11"/>
        <v>8</v>
      </c>
      <c r="I181">
        <f>COUNTIFS([1]Responses!$B$2:$B$4001,$A181,[1]Responses!$K$2:$K$4001,"High",[1]Responses!$I$2:$I$4001,"Correct")</f>
        <v>1</v>
      </c>
      <c r="J181">
        <f>COUNTIFS([1]Responses!$B$2:$B$4001,$A181,[1]Responses!$K$2:$K$4001,"High",[1]Responses!$I$2:$I$4001,"Wrong")</f>
        <v>4</v>
      </c>
      <c r="K181" s="2">
        <f>ROUND(SUMIFS([1]Responses!$J$2:$J$4001,[1]Responses!$B$2:$B$4001,$A181,[1]Responses!$K$2:$K$4001,"High"),2)</f>
        <v>8.1</v>
      </c>
      <c r="L181">
        <f>COUNTIFS([1]Responses!$B$2:$B$4001,$A181,[1]Responses!$K$2:$K$4001,"Medium",[1]Responses!$I$2:$I$4001,"Correct")</f>
        <v>3</v>
      </c>
      <c r="M181">
        <f>COUNTIFS([1]Responses!$B$2:$B$4001,$A181,[1]Responses!$K$2:$K$4001,"Medium",[1]Responses!$I$2:$I$4001,"Wrong")</f>
        <v>3</v>
      </c>
      <c r="N181" s="2">
        <f>ROUND(SUMIFS([1]Responses!$J$2:$J$4001,[1]Responses!$B$2:$B$4001,$A181,[1]Responses!$K$2:$K$4001,"Medium"),2)</f>
        <v>9.99</v>
      </c>
      <c r="O181">
        <f>COUNTIFS([1]Responses!$B$2:$B$4001,$A181,[1]Responses!$K$2:$K$4001,"Low",[1]Responses!$I$2:$I$4001,"Correct")</f>
        <v>8</v>
      </c>
      <c r="P181">
        <f>COUNTIFS([1]Responses!$B$2:$B$4001,$A181,[1]Responses!$K$2:$K$4001,"Low",[1]Responses!$I$2:$I$4001,"Wrong")</f>
        <v>1</v>
      </c>
      <c r="Q181" s="2">
        <f>ROUND(SUMIFS([1]Responses!$J$2:$J$4001,[1]Responses!$B$2:$B$4001,$A181,[1]Responses!$K$2:$K$4001,"Low"),2)</f>
        <v>12.47</v>
      </c>
      <c r="R181" s="2">
        <f>ROUND(SUMIFS([1]Responses!$AB$2:$AB$4001,[1]Responses!$B$2:$B$4001,$A181),2)</f>
        <v>21.42</v>
      </c>
      <c r="S181" t="str">
        <f>IF(R181&gt;='[1]Reward Model'!$B$8,"Gold",IF(R181&gt;='[1]Reward Model'!$B$9,"Silver","Bronze"))</f>
        <v>Silver</v>
      </c>
      <c r="T181" s="2">
        <f>ROUND(R181/'[1]Reward Model'!$B$7*100,2)</f>
        <v>52.24</v>
      </c>
    </row>
    <row r="182" spans="1:20" x14ac:dyDescent="0.25">
      <c r="A182" t="s">
        <v>205</v>
      </c>
      <c r="B182" t="s">
        <v>120</v>
      </c>
      <c r="C182" t="s">
        <v>96</v>
      </c>
      <c r="D182">
        <f t="shared" si="8"/>
        <v>20</v>
      </c>
      <c r="E182" s="2">
        <f t="shared" si="9"/>
        <v>30.53</v>
      </c>
      <c r="F182">
        <f>COUNTIFS([1]Responses!$B$2:$B$4001,$A182)</f>
        <v>20</v>
      </c>
      <c r="G182">
        <f t="shared" si="11"/>
        <v>17</v>
      </c>
      <c r="H182">
        <f t="shared" si="11"/>
        <v>3</v>
      </c>
      <c r="I182">
        <f>COUNTIFS([1]Responses!$B$2:$B$4001,$A182,[1]Responses!$K$2:$K$4001,"High",[1]Responses!$I$2:$I$4001,"Correct")</f>
        <v>4</v>
      </c>
      <c r="J182">
        <f>COUNTIFS([1]Responses!$B$2:$B$4001,$A182,[1]Responses!$K$2:$K$4001,"High",[1]Responses!$I$2:$I$4001,"Wrong")</f>
        <v>1</v>
      </c>
      <c r="K182" s="2">
        <f>ROUND(SUMIFS([1]Responses!$J$2:$J$4001,[1]Responses!$B$2:$B$4001,$A182,[1]Responses!$K$2:$K$4001,"High"),2)</f>
        <v>7.81</v>
      </c>
      <c r="L182">
        <f>COUNTIFS([1]Responses!$B$2:$B$4001,$A182,[1]Responses!$K$2:$K$4001,"Medium",[1]Responses!$I$2:$I$4001,"Correct")</f>
        <v>5</v>
      </c>
      <c r="M182">
        <f>COUNTIFS([1]Responses!$B$2:$B$4001,$A182,[1]Responses!$K$2:$K$4001,"Medium",[1]Responses!$I$2:$I$4001,"Wrong")</f>
        <v>1</v>
      </c>
      <c r="N182" s="2">
        <f>ROUND(SUMIFS([1]Responses!$J$2:$J$4001,[1]Responses!$B$2:$B$4001,$A182,[1]Responses!$K$2:$K$4001,"Medium"),2)</f>
        <v>9.16</v>
      </c>
      <c r="O182">
        <f>COUNTIFS([1]Responses!$B$2:$B$4001,$A182,[1]Responses!$K$2:$K$4001,"Low",[1]Responses!$I$2:$I$4001,"Correct")</f>
        <v>8</v>
      </c>
      <c r="P182">
        <f>COUNTIFS([1]Responses!$B$2:$B$4001,$A182,[1]Responses!$K$2:$K$4001,"Low",[1]Responses!$I$2:$I$4001,"Wrong")</f>
        <v>1</v>
      </c>
      <c r="Q182" s="2">
        <f>ROUND(SUMIFS([1]Responses!$J$2:$J$4001,[1]Responses!$B$2:$B$4001,$A182,[1]Responses!$K$2:$K$4001,"Low"),2)</f>
        <v>13.56</v>
      </c>
      <c r="R182" s="2">
        <f>ROUND(SUMIFS([1]Responses!$AB$2:$AB$4001,[1]Responses!$B$2:$B$4001,$A182),2)</f>
        <v>33.68</v>
      </c>
      <c r="S182" t="str">
        <f>IF(R182&gt;='[1]Reward Model'!$B$8,"Gold",IF(R182&gt;='[1]Reward Model'!$B$9,"Silver","Bronze"))</f>
        <v>Gold</v>
      </c>
      <c r="T182" s="2">
        <f>ROUND(R182/'[1]Reward Model'!$B$7*100,2)</f>
        <v>82.15</v>
      </c>
    </row>
    <row r="183" spans="1:20" x14ac:dyDescent="0.25">
      <c r="A183" t="s">
        <v>206</v>
      </c>
      <c r="B183" t="s">
        <v>120</v>
      </c>
      <c r="C183" t="s">
        <v>96</v>
      </c>
      <c r="D183">
        <f t="shared" si="8"/>
        <v>20</v>
      </c>
      <c r="E183" s="2">
        <f t="shared" si="9"/>
        <v>35.17</v>
      </c>
      <c r="F183">
        <f>COUNTIFS([1]Responses!$B$2:$B$4001,$A183)</f>
        <v>20</v>
      </c>
      <c r="G183">
        <f t="shared" si="11"/>
        <v>12</v>
      </c>
      <c r="H183">
        <f t="shared" si="11"/>
        <v>8</v>
      </c>
      <c r="I183">
        <f>COUNTIFS([1]Responses!$B$2:$B$4001,$A183,[1]Responses!$K$2:$K$4001,"High",[1]Responses!$I$2:$I$4001,"Correct")</f>
        <v>1</v>
      </c>
      <c r="J183">
        <f>COUNTIFS([1]Responses!$B$2:$B$4001,$A183,[1]Responses!$K$2:$K$4001,"High",[1]Responses!$I$2:$I$4001,"Wrong")</f>
        <v>4</v>
      </c>
      <c r="K183" s="2">
        <f>ROUND(SUMIFS([1]Responses!$J$2:$J$4001,[1]Responses!$B$2:$B$4001,$A183,[1]Responses!$K$2:$K$4001,"High"),2)</f>
        <v>8.58</v>
      </c>
      <c r="L183">
        <f>COUNTIFS([1]Responses!$B$2:$B$4001,$A183,[1]Responses!$K$2:$K$4001,"Medium",[1]Responses!$I$2:$I$4001,"Correct")</f>
        <v>5</v>
      </c>
      <c r="M183">
        <f>COUNTIFS([1]Responses!$B$2:$B$4001,$A183,[1]Responses!$K$2:$K$4001,"Medium",[1]Responses!$I$2:$I$4001,"Wrong")</f>
        <v>1</v>
      </c>
      <c r="N183" s="2">
        <f>ROUND(SUMIFS([1]Responses!$J$2:$J$4001,[1]Responses!$B$2:$B$4001,$A183,[1]Responses!$K$2:$K$4001,"Medium"),2)</f>
        <v>10.7</v>
      </c>
      <c r="O183">
        <f>COUNTIFS([1]Responses!$B$2:$B$4001,$A183,[1]Responses!$K$2:$K$4001,"Low",[1]Responses!$I$2:$I$4001,"Correct")</f>
        <v>6</v>
      </c>
      <c r="P183">
        <f>COUNTIFS([1]Responses!$B$2:$B$4001,$A183,[1]Responses!$K$2:$K$4001,"Low",[1]Responses!$I$2:$I$4001,"Wrong")</f>
        <v>3</v>
      </c>
      <c r="Q183" s="2">
        <f>ROUND(SUMIFS([1]Responses!$J$2:$J$4001,[1]Responses!$B$2:$B$4001,$A183,[1]Responses!$K$2:$K$4001,"Low"),2)</f>
        <v>15.89</v>
      </c>
      <c r="R183" s="2">
        <f>ROUND(SUMIFS([1]Responses!$AB$2:$AB$4001,[1]Responses!$B$2:$B$4001,$A183),2)</f>
        <v>20.350000000000001</v>
      </c>
      <c r="S183" t="str">
        <f>IF(R183&gt;='[1]Reward Model'!$B$8,"Gold",IF(R183&gt;='[1]Reward Model'!$B$9,"Silver","Bronze"))</f>
        <v>Bronze</v>
      </c>
      <c r="T183" s="2">
        <f>ROUND(R183/'[1]Reward Model'!$B$7*100,2)</f>
        <v>49.63</v>
      </c>
    </row>
    <row r="184" spans="1:20" x14ac:dyDescent="0.25">
      <c r="A184" t="s">
        <v>207</v>
      </c>
      <c r="B184" t="s">
        <v>120</v>
      </c>
      <c r="C184" t="s">
        <v>96</v>
      </c>
      <c r="D184">
        <f t="shared" si="8"/>
        <v>20</v>
      </c>
      <c r="E184" s="2">
        <f t="shared" si="9"/>
        <v>33.22</v>
      </c>
      <c r="F184">
        <f>COUNTIFS([1]Responses!$B$2:$B$4001,$A184)</f>
        <v>20</v>
      </c>
      <c r="G184">
        <f t="shared" si="11"/>
        <v>15</v>
      </c>
      <c r="H184">
        <f t="shared" si="11"/>
        <v>5</v>
      </c>
      <c r="I184">
        <f>COUNTIFS([1]Responses!$B$2:$B$4001,$A184,[1]Responses!$K$2:$K$4001,"High",[1]Responses!$I$2:$I$4001,"Correct")</f>
        <v>4</v>
      </c>
      <c r="J184">
        <f>COUNTIFS([1]Responses!$B$2:$B$4001,$A184,[1]Responses!$K$2:$K$4001,"High",[1]Responses!$I$2:$I$4001,"Wrong")</f>
        <v>1</v>
      </c>
      <c r="K184" s="2">
        <f>ROUND(SUMIFS([1]Responses!$J$2:$J$4001,[1]Responses!$B$2:$B$4001,$A184,[1]Responses!$K$2:$K$4001,"High"),2)</f>
        <v>9.6999999999999993</v>
      </c>
      <c r="L184">
        <f>COUNTIFS([1]Responses!$B$2:$B$4001,$A184,[1]Responses!$K$2:$K$4001,"Medium",[1]Responses!$I$2:$I$4001,"Correct")</f>
        <v>3</v>
      </c>
      <c r="M184">
        <f>COUNTIFS([1]Responses!$B$2:$B$4001,$A184,[1]Responses!$K$2:$K$4001,"Medium",[1]Responses!$I$2:$I$4001,"Wrong")</f>
        <v>3</v>
      </c>
      <c r="N184" s="2">
        <f>ROUND(SUMIFS([1]Responses!$J$2:$J$4001,[1]Responses!$B$2:$B$4001,$A184,[1]Responses!$K$2:$K$4001,"Medium"),2)</f>
        <v>10.88</v>
      </c>
      <c r="O184">
        <f>COUNTIFS([1]Responses!$B$2:$B$4001,$A184,[1]Responses!$K$2:$K$4001,"Low",[1]Responses!$I$2:$I$4001,"Correct")</f>
        <v>8</v>
      </c>
      <c r="P184">
        <f>COUNTIFS([1]Responses!$B$2:$B$4001,$A184,[1]Responses!$K$2:$K$4001,"Low",[1]Responses!$I$2:$I$4001,"Wrong")</f>
        <v>1</v>
      </c>
      <c r="Q184" s="2">
        <f>ROUND(SUMIFS([1]Responses!$J$2:$J$4001,[1]Responses!$B$2:$B$4001,$A184,[1]Responses!$K$2:$K$4001,"Low"),2)</f>
        <v>12.64</v>
      </c>
      <c r="R184" s="2">
        <f>ROUND(SUMIFS([1]Responses!$AB$2:$AB$4001,[1]Responses!$B$2:$B$4001,$A184),2)</f>
        <v>28.3</v>
      </c>
      <c r="S184" t="str">
        <f>IF(R184&gt;='[1]Reward Model'!$B$8,"Gold",IF(R184&gt;='[1]Reward Model'!$B$9,"Silver","Bronze"))</f>
        <v>Silver</v>
      </c>
      <c r="T184" s="2">
        <f>ROUND(R184/'[1]Reward Model'!$B$7*100,2)</f>
        <v>69.02</v>
      </c>
    </row>
    <row r="185" spans="1:20" x14ac:dyDescent="0.25">
      <c r="A185" t="s">
        <v>208</v>
      </c>
      <c r="B185" t="s">
        <v>120</v>
      </c>
      <c r="C185" t="s">
        <v>96</v>
      </c>
      <c r="D185">
        <f t="shared" si="8"/>
        <v>20</v>
      </c>
      <c r="E185" s="2">
        <f t="shared" si="9"/>
        <v>31.59</v>
      </c>
      <c r="F185">
        <f>COUNTIFS([1]Responses!$B$2:$B$4001,$A185)</f>
        <v>20</v>
      </c>
      <c r="G185">
        <f t="shared" si="11"/>
        <v>16</v>
      </c>
      <c r="H185">
        <f t="shared" si="11"/>
        <v>4</v>
      </c>
      <c r="I185">
        <f>COUNTIFS([1]Responses!$B$2:$B$4001,$A185,[1]Responses!$K$2:$K$4001,"High",[1]Responses!$I$2:$I$4001,"Correct")</f>
        <v>3</v>
      </c>
      <c r="J185">
        <f>COUNTIFS([1]Responses!$B$2:$B$4001,$A185,[1]Responses!$K$2:$K$4001,"High",[1]Responses!$I$2:$I$4001,"Wrong")</f>
        <v>2</v>
      </c>
      <c r="K185" s="2">
        <f>ROUND(SUMIFS([1]Responses!$J$2:$J$4001,[1]Responses!$B$2:$B$4001,$A185,[1]Responses!$K$2:$K$4001,"High"),2)</f>
        <v>9.32</v>
      </c>
      <c r="L185">
        <f>COUNTIFS([1]Responses!$B$2:$B$4001,$A185,[1]Responses!$K$2:$K$4001,"Medium",[1]Responses!$I$2:$I$4001,"Correct")</f>
        <v>5</v>
      </c>
      <c r="M185">
        <f>COUNTIFS([1]Responses!$B$2:$B$4001,$A185,[1]Responses!$K$2:$K$4001,"Medium",[1]Responses!$I$2:$I$4001,"Wrong")</f>
        <v>1</v>
      </c>
      <c r="N185" s="2">
        <f>ROUND(SUMIFS([1]Responses!$J$2:$J$4001,[1]Responses!$B$2:$B$4001,$A185,[1]Responses!$K$2:$K$4001,"Medium"),2)</f>
        <v>9.34</v>
      </c>
      <c r="O185">
        <f>COUNTIFS([1]Responses!$B$2:$B$4001,$A185,[1]Responses!$K$2:$K$4001,"Low",[1]Responses!$I$2:$I$4001,"Correct")</f>
        <v>8</v>
      </c>
      <c r="P185">
        <f>COUNTIFS([1]Responses!$B$2:$B$4001,$A185,[1]Responses!$K$2:$K$4001,"Low",[1]Responses!$I$2:$I$4001,"Wrong")</f>
        <v>1</v>
      </c>
      <c r="Q185" s="2">
        <f>ROUND(SUMIFS([1]Responses!$J$2:$J$4001,[1]Responses!$B$2:$B$4001,$A185,[1]Responses!$K$2:$K$4001,"Low"),2)</f>
        <v>12.93</v>
      </c>
      <c r="R185" s="2">
        <f>ROUND(SUMIFS([1]Responses!$AB$2:$AB$4001,[1]Responses!$B$2:$B$4001,$A185),2)</f>
        <v>30.32</v>
      </c>
      <c r="S185" t="str">
        <f>IF(R185&gt;='[1]Reward Model'!$B$8,"Gold",IF(R185&gt;='[1]Reward Model'!$B$9,"Silver","Bronze"))</f>
        <v>Gold</v>
      </c>
      <c r="T185" s="2">
        <f>ROUND(R185/'[1]Reward Model'!$B$7*100,2)</f>
        <v>73.95</v>
      </c>
    </row>
    <row r="186" spans="1:20" x14ac:dyDescent="0.25">
      <c r="A186" t="s">
        <v>209</v>
      </c>
      <c r="B186" t="s">
        <v>120</v>
      </c>
      <c r="C186" t="s">
        <v>96</v>
      </c>
      <c r="D186">
        <f t="shared" si="8"/>
        <v>20</v>
      </c>
      <c r="E186" s="2">
        <f t="shared" si="9"/>
        <v>32.549999999999997</v>
      </c>
      <c r="F186">
        <f>COUNTIFS([1]Responses!$B$2:$B$4001,$A186)</f>
        <v>20</v>
      </c>
      <c r="G186">
        <f t="shared" si="11"/>
        <v>15</v>
      </c>
      <c r="H186">
        <f t="shared" si="11"/>
        <v>5</v>
      </c>
      <c r="I186">
        <f>COUNTIFS([1]Responses!$B$2:$B$4001,$A186,[1]Responses!$K$2:$K$4001,"High",[1]Responses!$I$2:$I$4001,"Correct")</f>
        <v>2</v>
      </c>
      <c r="J186">
        <f>COUNTIFS([1]Responses!$B$2:$B$4001,$A186,[1]Responses!$K$2:$K$4001,"High",[1]Responses!$I$2:$I$4001,"Wrong")</f>
        <v>3</v>
      </c>
      <c r="K186" s="2">
        <f>ROUND(SUMIFS([1]Responses!$J$2:$J$4001,[1]Responses!$B$2:$B$4001,$A186,[1]Responses!$K$2:$K$4001,"High"),2)</f>
        <v>8.24</v>
      </c>
      <c r="L186">
        <f>COUNTIFS([1]Responses!$B$2:$B$4001,$A186,[1]Responses!$K$2:$K$4001,"Medium",[1]Responses!$I$2:$I$4001,"Correct")</f>
        <v>5</v>
      </c>
      <c r="M186">
        <f>COUNTIFS([1]Responses!$B$2:$B$4001,$A186,[1]Responses!$K$2:$K$4001,"Medium",[1]Responses!$I$2:$I$4001,"Wrong")</f>
        <v>1</v>
      </c>
      <c r="N186" s="2">
        <f>ROUND(SUMIFS([1]Responses!$J$2:$J$4001,[1]Responses!$B$2:$B$4001,$A186,[1]Responses!$K$2:$K$4001,"Medium"),2)</f>
        <v>10.210000000000001</v>
      </c>
      <c r="O186">
        <f>COUNTIFS([1]Responses!$B$2:$B$4001,$A186,[1]Responses!$K$2:$K$4001,"Low",[1]Responses!$I$2:$I$4001,"Correct")</f>
        <v>8</v>
      </c>
      <c r="P186">
        <f>COUNTIFS([1]Responses!$B$2:$B$4001,$A186,[1]Responses!$K$2:$K$4001,"Low",[1]Responses!$I$2:$I$4001,"Wrong")</f>
        <v>1</v>
      </c>
      <c r="Q186" s="2">
        <f>ROUND(SUMIFS([1]Responses!$J$2:$J$4001,[1]Responses!$B$2:$B$4001,$A186,[1]Responses!$K$2:$K$4001,"Low"),2)</f>
        <v>14.1</v>
      </c>
      <c r="R186" s="2">
        <f>ROUND(SUMIFS([1]Responses!$AB$2:$AB$4001,[1]Responses!$B$2:$B$4001,$A186),2)</f>
        <v>26.34</v>
      </c>
      <c r="S186" t="str">
        <f>IF(R186&gt;='[1]Reward Model'!$B$8,"Gold",IF(R186&gt;='[1]Reward Model'!$B$9,"Silver","Bronze"))</f>
        <v>Silver</v>
      </c>
      <c r="T186" s="2">
        <f>ROUND(R186/'[1]Reward Model'!$B$7*100,2)</f>
        <v>64.239999999999995</v>
      </c>
    </row>
    <row r="187" spans="1:20" x14ac:dyDescent="0.25">
      <c r="A187" t="s">
        <v>210</v>
      </c>
      <c r="B187" t="s">
        <v>120</v>
      </c>
      <c r="C187" t="s">
        <v>96</v>
      </c>
      <c r="D187">
        <f t="shared" si="8"/>
        <v>20</v>
      </c>
      <c r="E187" s="2">
        <f t="shared" si="9"/>
        <v>34.130000000000003</v>
      </c>
      <c r="F187">
        <f>COUNTIFS([1]Responses!$B$2:$B$4001,$A187)</f>
        <v>20</v>
      </c>
      <c r="G187">
        <f t="shared" si="11"/>
        <v>12</v>
      </c>
      <c r="H187">
        <f t="shared" si="11"/>
        <v>8</v>
      </c>
      <c r="I187">
        <f>COUNTIFS([1]Responses!$B$2:$B$4001,$A187,[1]Responses!$K$2:$K$4001,"High",[1]Responses!$I$2:$I$4001,"Correct")</f>
        <v>2</v>
      </c>
      <c r="J187">
        <f>COUNTIFS([1]Responses!$B$2:$B$4001,$A187,[1]Responses!$K$2:$K$4001,"High",[1]Responses!$I$2:$I$4001,"Wrong")</f>
        <v>3</v>
      </c>
      <c r="K187" s="2">
        <f>ROUND(SUMIFS([1]Responses!$J$2:$J$4001,[1]Responses!$B$2:$B$4001,$A187,[1]Responses!$K$2:$K$4001,"High"),2)</f>
        <v>9.64</v>
      </c>
      <c r="L187">
        <f>COUNTIFS([1]Responses!$B$2:$B$4001,$A187,[1]Responses!$K$2:$K$4001,"Medium",[1]Responses!$I$2:$I$4001,"Correct")</f>
        <v>2</v>
      </c>
      <c r="M187">
        <f>COUNTIFS([1]Responses!$B$2:$B$4001,$A187,[1]Responses!$K$2:$K$4001,"Medium",[1]Responses!$I$2:$I$4001,"Wrong")</f>
        <v>4</v>
      </c>
      <c r="N187" s="2">
        <f>ROUND(SUMIFS([1]Responses!$J$2:$J$4001,[1]Responses!$B$2:$B$4001,$A187,[1]Responses!$K$2:$K$4001,"Medium"),2)</f>
        <v>10.75</v>
      </c>
      <c r="O187">
        <f>COUNTIFS([1]Responses!$B$2:$B$4001,$A187,[1]Responses!$K$2:$K$4001,"Low",[1]Responses!$I$2:$I$4001,"Correct")</f>
        <v>8</v>
      </c>
      <c r="P187">
        <f>COUNTIFS([1]Responses!$B$2:$B$4001,$A187,[1]Responses!$K$2:$K$4001,"Low",[1]Responses!$I$2:$I$4001,"Wrong")</f>
        <v>1</v>
      </c>
      <c r="Q187" s="2">
        <f>ROUND(SUMIFS([1]Responses!$J$2:$J$4001,[1]Responses!$B$2:$B$4001,$A187,[1]Responses!$K$2:$K$4001,"Low"),2)</f>
        <v>13.74</v>
      </c>
      <c r="R187" s="2">
        <f>ROUND(SUMIFS([1]Responses!$AB$2:$AB$4001,[1]Responses!$B$2:$B$4001,$A187),2)</f>
        <v>20.399999999999999</v>
      </c>
      <c r="S187" t="str">
        <f>IF(R187&gt;='[1]Reward Model'!$B$8,"Gold",IF(R187&gt;='[1]Reward Model'!$B$9,"Silver","Bronze"))</f>
        <v>Bronze</v>
      </c>
      <c r="T187" s="2">
        <f>ROUND(R187/'[1]Reward Model'!$B$7*100,2)</f>
        <v>49.76</v>
      </c>
    </row>
    <row r="188" spans="1:20" x14ac:dyDescent="0.25">
      <c r="A188" t="s">
        <v>211</v>
      </c>
      <c r="B188" t="s">
        <v>120</v>
      </c>
      <c r="C188" t="s">
        <v>96</v>
      </c>
      <c r="D188">
        <f t="shared" si="8"/>
        <v>20</v>
      </c>
      <c r="E188" s="2">
        <f t="shared" si="9"/>
        <v>32.26</v>
      </c>
      <c r="F188">
        <f>COUNTIFS([1]Responses!$B$2:$B$4001,$A188)</f>
        <v>20</v>
      </c>
      <c r="G188">
        <f t="shared" si="11"/>
        <v>15</v>
      </c>
      <c r="H188">
        <f t="shared" si="11"/>
        <v>5</v>
      </c>
      <c r="I188">
        <f>COUNTIFS([1]Responses!$B$2:$B$4001,$A188,[1]Responses!$K$2:$K$4001,"High",[1]Responses!$I$2:$I$4001,"Correct")</f>
        <v>2</v>
      </c>
      <c r="J188">
        <f>COUNTIFS([1]Responses!$B$2:$B$4001,$A188,[1]Responses!$K$2:$K$4001,"High",[1]Responses!$I$2:$I$4001,"Wrong")</f>
        <v>3</v>
      </c>
      <c r="K188" s="2">
        <f>ROUND(SUMIFS([1]Responses!$J$2:$J$4001,[1]Responses!$B$2:$B$4001,$A188,[1]Responses!$K$2:$K$4001,"High"),2)</f>
        <v>8.2100000000000009</v>
      </c>
      <c r="L188">
        <f>COUNTIFS([1]Responses!$B$2:$B$4001,$A188,[1]Responses!$K$2:$K$4001,"Medium",[1]Responses!$I$2:$I$4001,"Correct")</f>
        <v>5</v>
      </c>
      <c r="M188">
        <f>COUNTIFS([1]Responses!$B$2:$B$4001,$A188,[1]Responses!$K$2:$K$4001,"Medium",[1]Responses!$I$2:$I$4001,"Wrong")</f>
        <v>1</v>
      </c>
      <c r="N188" s="2">
        <f>ROUND(SUMIFS([1]Responses!$J$2:$J$4001,[1]Responses!$B$2:$B$4001,$A188,[1]Responses!$K$2:$K$4001,"Medium"),2)</f>
        <v>10.27</v>
      </c>
      <c r="O188">
        <f>COUNTIFS([1]Responses!$B$2:$B$4001,$A188,[1]Responses!$K$2:$K$4001,"Low",[1]Responses!$I$2:$I$4001,"Correct")</f>
        <v>8</v>
      </c>
      <c r="P188">
        <f>COUNTIFS([1]Responses!$B$2:$B$4001,$A188,[1]Responses!$K$2:$K$4001,"Low",[1]Responses!$I$2:$I$4001,"Wrong")</f>
        <v>1</v>
      </c>
      <c r="Q188" s="2">
        <f>ROUND(SUMIFS([1]Responses!$J$2:$J$4001,[1]Responses!$B$2:$B$4001,$A188,[1]Responses!$K$2:$K$4001,"Low"),2)</f>
        <v>13.78</v>
      </c>
      <c r="R188" s="2">
        <f>ROUND(SUMIFS([1]Responses!$AB$2:$AB$4001,[1]Responses!$B$2:$B$4001,$A188),2)</f>
        <v>27.42</v>
      </c>
      <c r="S188" t="str">
        <f>IF(R188&gt;='[1]Reward Model'!$B$8,"Gold",IF(R188&gt;='[1]Reward Model'!$B$9,"Silver","Bronze"))</f>
        <v>Silver</v>
      </c>
      <c r="T188" s="2">
        <f>ROUND(R188/'[1]Reward Model'!$B$7*100,2)</f>
        <v>66.88</v>
      </c>
    </row>
    <row r="189" spans="1:20" x14ac:dyDescent="0.25">
      <c r="A189" t="s">
        <v>212</v>
      </c>
      <c r="B189" t="s">
        <v>120</v>
      </c>
      <c r="C189" t="s">
        <v>96</v>
      </c>
      <c r="D189">
        <f t="shared" si="8"/>
        <v>20</v>
      </c>
      <c r="E189" s="2">
        <f t="shared" si="9"/>
        <v>34.21</v>
      </c>
      <c r="F189">
        <f>COUNTIFS([1]Responses!$B$2:$B$4001,$A189)</f>
        <v>20</v>
      </c>
      <c r="G189">
        <f t="shared" si="11"/>
        <v>13</v>
      </c>
      <c r="H189">
        <f t="shared" si="11"/>
        <v>7</v>
      </c>
      <c r="I189">
        <f>COUNTIFS([1]Responses!$B$2:$B$4001,$A189,[1]Responses!$K$2:$K$4001,"High",[1]Responses!$I$2:$I$4001,"Correct")</f>
        <v>3</v>
      </c>
      <c r="J189">
        <f>COUNTIFS([1]Responses!$B$2:$B$4001,$A189,[1]Responses!$K$2:$K$4001,"High",[1]Responses!$I$2:$I$4001,"Wrong")</f>
        <v>2</v>
      </c>
      <c r="K189" s="2">
        <f>ROUND(SUMIFS([1]Responses!$J$2:$J$4001,[1]Responses!$B$2:$B$4001,$A189,[1]Responses!$K$2:$K$4001,"High"),2)</f>
        <v>10.86</v>
      </c>
      <c r="L189">
        <f>COUNTIFS([1]Responses!$B$2:$B$4001,$A189,[1]Responses!$K$2:$K$4001,"Medium",[1]Responses!$I$2:$I$4001,"Correct")</f>
        <v>2</v>
      </c>
      <c r="M189">
        <f>COUNTIFS([1]Responses!$B$2:$B$4001,$A189,[1]Responses!$K$2:$K$4001,"Medium",[1]Responses!$I$2:$I$4001,"Wrong")</f>
        <v>4</v>
      </c>
      <c r="N189" s="2">
        <f>ROUND(SUMIFS([1]Responses!$J$2:$J$4001,[1]Responses!$B$2:$B$4001,$A189,[1]Responses!$K$2:$K$4001,"Medium"),2)</f>
        <v>11.03</v>
      </c>
      <c r="O189">
        <f>COUNTIFS([1]Responses!$B$2:$B$4001,$A189,[1]Responses!$K$2:$K$4001,"Low",[1]Responses!$I$2:$I$4001,"Correct")</f>
        <v>8</v>
      </c>
      <c r="P189">
        <f>COUNTIFS([1]Responses!$B$2:$B$4001,$A189,[1]Responses!$K$2:$K$4001,"Low",[1]Responses!$I$2:$I$4001,"Wrong")</f>
        <v>1</v>
      </c>
      <c r="Q189" s="2">
        <f>ROUND(SUMIFS([1]Responses!$J$2:$J$4001,[1]Responses!$B$2:$B$4001,$A189,[1]Responses!$K$2:$K$4001,"Low"),2)</f>
        <v>12.32</v>
      </c>
      <c r="R189" s="2">
        <f>ROUND(SUMIFS([1]Responses!$AB$2:$AB$4001,[1]Responses!$B$2:$B$4001,$A189),2)</f>
        <v>22.83</v>
      </c>
      <c r="S189" t="str">
        <f>IF(R189&gt;='[1]Reward Model'!$B$8,"Gold",IF(R189&gt;='[1]Reward Model'!$B$9,"Silver","Bronze"))</f>
        <v>Silver</v>
      </c>
      <c r="T189" s="2">
        <f>ROUND(R189/'[1]Reward Model'!$B$7*100,2)</f>
        <v>55.68</v>
      </c>
    </row>
    <row r="190" spans="1:20" x14ac:dyDescent="0.25">
      <c r="A190" t="s">
        <v>213</v>
      </c>
      <c r="B190" t="s">
        <v>120</v>
      </c>
      <c r="C190" t="s">
        <v>96</v>
      </c>
      <c r="D190">
        <f t="shared" si="8"/>
        <v>20</v>
      </c>
      <c r="E190" s="2">
        <f t="shared" si="9"/>
        <v>31.04</v>
      </c>
      <c r="F190">
        <f>COUNTIFS([1]Responses!$B$2:$B$4001,$A190)</f>
        <v>20</v>
      </c>
      <c r="G190">
        <f t="shared" si="11"/>
        <v>16</v>
      </c>
      <c r="H190">
        <f t="shared" si="11"/>
        <v>4</v>
      </c>
      <c r="I190">
        <f>COUNTIFS([1]Responses!$B$2:$B$4001,$A190,[1]Responses!$K$2:$K$4001,"High",[1]Responses!$I$2:$I$4001,"Correct")</f>
        <v>3</v>
      </c>
      <c r="J190">
        <f>COUNTIFS([1]Responses!$B$2:$B$4001,$A190,[1]Responses!$K$2:$K$4001,"High",[1]Responses!$I$2:$I$4001,"Wrong")</f>
        <v>2</v>
      </c>
      <c r="K190" s="2">
        <f>ROUND(SUMIFS([1]Responses!$J$2:$J$4001,[1]Responses!$B$2:$B$4001,$A190,[1]Responses!$K$2:$K$4001,"High"),2)</f>
        <v>9.31</v>
      </c>
      <c r="L190">
        <f>COUNTIFS([1]Responses!$B$2:$B$4001,$A190,[1]Responses!$K$2:$K$4001,"Medium",[1]Responses!$I$2:$I$4001,"Correct")</f>
        <v>5</v>
      </c>
      <c r="M190">
        <f>COUNTIFS([1]Responses!$B$2:$B$4001,$A190,[1]Responses!$K$2:$K$4001,"Medium",[1]Responses!$I$2:$I$4001,"Wrong")</f>
        <v>1</v>
      </c>
      <c r="N190" s="2">
        <f>ROUND(SUMIFS([1]Responses!$J$2:$J$4001,[1]Responses!$B$2:$B$4001,$A190,[1]Responses!$K$2:$K$4001,"Medium"),2)</f>
        <v>11.03</v>
      </c>
      <c r="O190">
        <f>COUNTIFS([1]Responses!$B$2:$B$4001,$A190,[1]Responses!$K$2:$K$4001,"Low",[1]Responses!$I$2:$I$4001,"Correct")</f>
        <v>8</v>
      </c>
      <c r="P190">
        <f>COUNTIFS([1]Responses!$B$2:$B$4001,$A190,[1]Responses!$K$2:$K$4001,"Low",[1]Responses!$I$2:$I$4001,"Wrong")</f>
        <v>1</v>
      </c>
      <c r="Q190" s="2">
        <f>ROUND(SUMIFS([1]Responses!$J$2:$J$4001,[1]Responses!$B$2:$B$4001,$A190,[1]Responses!$K$2:$K$4001,"Low"),2)</f>
        <v>10.7</v>
      </c>
      <c r="R190" s="2">
        <f>ROUND(SUMIFS([1]Responses!$AB$2:$AB$4001,[1]Responses!$B$2:$B$4001,$A190),2)</f>
        <v>29.85</v>
      </c>
      <c r="S190" t="str">
        <f>IF(R190&gt;='[1]Reward Model'!$B$8,"Gold",IF(R190&gt;='[1]Reward Model'!$B$9,"Silver","Bronze"))</f>
        <v>Gold</v>
      </c>
      <c r="T190" s="2">
        <f>ROUND(R190/'[1]Reward Model'!$B$7*100,2)</f>
        <v>72.8</v>
      </c>
    </row>
    <row r="191" spans="1:20" x14ac:dyDescent="0.25">
      <c r="A191" t="s">
        <v>214</v>
      </c>
      <c r="B191" t="s">
        <v>120</v>
      </c>
      <c r="C191" t="s">
        <v>96</v>
      </c>
      <c r="D191">
        <f t="shared" si="8"/>
        <v>20</v>
      </c>
      <c r="E191" s="2">
        <f t="shared" si="9"/>
        <v>32.17</v>
      </c>
      <c r="F191">
        <f>COUNTIFS([1]Responses!$B$2:$B$4001,$A191)</f>
        <v>20</v>
      </c>
      <c r="G191">
        <f t="shared" si="11"/>
        <v>17</v>
      </c>
      <c r="H191">
        <f t="shared" si="11"/>
        <v>3</v>
      </c>
      <c r="I191">
        <f>COUNTIFS([1]Responses!$B$2:$B$4001,$A191,[1]Responses!$K$2:$K$4001,"High",[1]Responses!$I$2:$I$4001,"Correct")</f>
        <v>4</v>
      </c>
      <c r="J191">
        <f>COUNTIFS([1]Responses!$B$2:$B$4001,$A191,[1]Responses!$K$2:$K$4001,"High",[1]Responses!$I$2:$I$4001,"Wrong")</f>
        <v>1</v>
      </c>
      <c r="K191" s="2">
        <f>ROUND(SUMIFS([1]Responses!$J$2:$J$4001,[1]Responses!$B$2:$B$4001,$A191,[1]Responses!$K$2:$K$4001,"High"),2)</f>
        <v>7.77</v>
      </c>
      <c r="L191">
        <f>COUNTIFS([1]Responses!$B$2:$B$4001,$A191,[1]Responses!$K$2:$K$4001,"Medium",[1]Responses!$I$2:$I$4001,"Correct")</f>
        <v>5</v>
      </c>
      <c r="M191">
        <f>COUNTIFS([1]Responses!$B$2:$B$4001,$A191,[1]Responses!$K$2:$K$4001,"Medium",[1]Responses!$I$2:$I$4001,"Wrong")</f>
        <v>1</v>
      </c>
      <c r="N191" s="2">
        <f>ROUND(SUMIFS([1]Responses!$J$2:$J$4001,[1]Responses!$B$2:$B$4001,$A191,[1]Responses!$K$2:$K$4001,"Medium"),2)</f>
        <v>10.27</v>
      </c>
      <c r="O191">
        <f>COUNTIFS([1]Responses!$B$2:$B$4001,$A191,[1]Responses!$K$2:$K$4001,"Low",[1]Responses!$I$2:$I$4001,"Correct")</f>
        <v>8</v>
      </c>
      <c r="P191">
        <f>COUNTIFS([1]Responses!$B$2:$B$4001,$A191,[1]Responses!$K$2:$K$4001,"Low",[1]Responses!$I$2:$I$4001,"Wrong")</f>
        <v>1</v>
      </c>
      <c r="Q191" s="2">
        <f>ROUND(SUMIFS([1]Responses!$J$2:$J$4001,[1]Responses!$B$2:$B$4001,$A191,[1]Responses!$K$2:$K$4001,"Low"),2)</f>
        <v>14.13</v>
      </c>
      <c r="R191" s="2">
        <f>ROUND(SUMIFS([1]Responses!$AB$2:$AB$4001,[1]Responses!$B$2:$B$4001,$A191),2)</f>
        <v>33.68</v>
      </c>
      <c r="S191" t="str">
        <f>IF(R191&gt;='[1]Reward Model'!$B$8,"Gold",IF(R191&gt;='[1]Reward Model'!$B$9,"Silver","Bronze"))</f>
        <v>Gold</v>
      </c>
      <c r="T191" s="2">
        <f>ROUND(R191/'[1]Reward Model'!$B$7*100,2)</f>
        <v>82.15</v>
      </c>
    </row>
    <row r="192" spans="1:20" x14ac:dyDescent="0.25">
      <c r="A192" t="s">
        <v>215</v>
      </c>
      <c r="B192" t="s">
        <v>120</v>
      </c>
      <c r="C192" t="s">
        <v>96</v>
      </c>
      <c r="D192">
        <f t="shared" si="8"/>
        <v>20</v>
      </c>
      <c r="E192" s="2">
        <f t="shared" si="9"/>
        <v>31.86</v>
      </c>
      <c r="F192">
        <f>COUNTIFS([1]Responses!$B$2:$B$4001,$A192)</f>
        <v>20</v>
      </c>
      <c r="G192">
        <f t="shared" si="11"/>
        <v>16</v>
      </c>
      <c r="H192">
        <f t="shared" si="11"/>
        <v>4</v>
      </c>
      <c r="I192">
        <f>COUNTIFS([1]Responses!$B$2:$B$4001,$A192,[1]Responses!$K$2:$K$4001,"High",[1]Responses!$I$2:$I$4001,"Correct")</f>
        <v>3</v>
      </c>
      <c r="J192">
        <f>COUNTIFS([1]Responses!$B$2:$B$4001,$A192,[1]Responses!$K$2:$K$4001,"High",[1]Responses!$I$2:$I$4001,"Wrong")</f>
        <v>2</v>
      </c>
      <c r="K192" s="2">
        <f>ROUND(SUMIFS([1]Responses!$J$2:$J$4001,[1]Responses!$B$2:$B$4001,$A192,[1]Responses!$K$2:$K$4001,"High"),2)</f>
        <v>9.36</v>
      </c>
      <c r="L192">
        <f>COUNTIFS([1]Responses!$B$2:$B$4001,$A192,[1]Responses!$K$2:$K$4001,"Medium",[1]Responses!$I$2:$I$4001,"Correct")</f>
        <v>5</v>
      </c>
      <c r="M192">
        <f>COUNTIFS([1]Responses!$B$2:$B$4001,$A192,[1]Responses!$K$2:$K$4001,"Medium",[1]Responses!$I$2:$I$4001,"Wrong")</f>
        <v>1</v>
      </c>
      <c r="N192" s="2">
        <f>ROUND(SUMIFS([1]Responses!$J$2:$J$4001,[1]Responses!$B$2:$B$4001,$A192,[1]Responses!$K$2:$K$4001,"Medium"),2)</f>
        <v>10.64</v>
      </c>
      <c r="O192">
        <f>COUNTIFS([1]Responses!$B$2:$B$4001,$A192,[1]Responses!$K$2:$K$4001,"Low",[1]Responses!$I$2:$I$4001,"Correct")</f>
        <v>8</v>
      </c>
      <c r="P192">
        <f>COUNTIFS([1]Responses!$B$2:$B$4001,$A192,[1]Responses!$K$2:$K$4001,"Low",[1]Responses!$I$2:$I$4001,"Wrong")</f>
        <v>1</v>
      </c>
      <c r="Q192" s="2">
        <f>ROUND(SUMIFS([1]Responses!$J$2:$J$4001,[1]Responses!$B$2:$B$4001,$A192,[1]Responses!$K$2:$K$4001,"Low"),2)</f>
        <v>11.86</v>
      </c>
      <c r="R192" s="2">
        <f>ROUND(SUMIFS([1]Responses!$AB$2:$AB$4001,[1]Responses!$B$2:$B$4001,$A192),2)</f>
        <v>29.37</v>
      </c>
      <c r="S192" t="str">
        <f>IF(R192&gt;='[1]Reward Model'!$B$8,"Gold",IF(R192&gt;='[1]Reward Model'!$B$9,"Silver","Bronze"))</f>
        <v>Gold</v>
      </c>
      <c r="T192" s="2">
        <f>ROUND(R192/'[1]Reward Model'!$B$7*100,2)</f>
        <v>71.63</v>
      </c>
    </row>
    <row r="193" spans="1:20" x14ac:dyDescent="0.25">
      <c r="A193" t="s">
        <v>216</v>
      </c>
      <c r="B193" t="s">
        <v>120</v>
      </c>
      <c r="C193" t="s">
        <v>96</v>
      </c>
      <c r="D193">
        <f t="shared" si="8"/>
        <v>20</v>
      </c>
      <c r="E193" s="2">
        <f t="shared" si="9"/>
        <v>28.97</v>
      </c>
      <c r="F193">
        <f>COUNTIFS([1]Responses!$B$2:$B$4001,$A193)</f>
        <v>20</v>
      </c>
      <c r="G193">
        <f t="shared" si="11"/>
        <v>13</v>
      </c>
      <c r="H193">
        <f t="shared" si="11"/>
        <v>7</v>
      </c>
      <c r="I193">
        <f>COUNTIFS([1]Responses!$B$2:$B$4001,$A193,[1]Responses!$K$2:$K$4001,"High",[1]Responses!$I$2:$I$4001,"Correct")</f>
        <v>1</v>
      </c>
      <c r="J193">
        <f>COUNTIFS([1]Responses!$B$2:$B$4001,$A193,[1]Responses!$K$2:$K$4001,"High",[1]Responses!$I$2:$I$4001,"Wrong")</f>
        <v>4</v>
      </c>
      <c r="K193" s="2">
        <f>ROUND(SUMIFS([1]Responses!$J$2:$J$4001,[1]Responses!$B$2:$B$4001,$A193,[1]Responses!$K$2:$K$4001,"High"),2)</f>
        <v>7.94</v>
      </c>
      <c r="L193">
        <f>COUNTIFS([1]Responses!$B$2:$B$4001,$A193,[1]Responses!$K$2:$K$4001,"Medium",[1]Responses!$I$2:$I$4001,"Correct")</f>
        <v>4</v>
      </c>
      <c r="M193">
        <f>COUNTIFS([1]Responses!$B$2:$B$4001,$A193,[1]Responses!$K$2:$K$4001,"Medium",[1]Responses!$I$2:$I$4001,"Wrong")</f>
        <v>2</v>
      </c>
      <c r="N193" s="2">
        <f>ROUND(SUMIFS([1]Responses!$J$2:$J$4001,[1]Responses!$B$2:$B$4001,$A193,[1]Responses!$K$2:$K$4001,"Medium"),2)</f>
        <v>8.61</v>
      </c>
      <c r="O193">
        <f>COUNTIFS([1]Responses!$B$2:$B$4001,$A193,[1]Responses!$K$2:$K$4001,"Low",[1]Responses!$I$2:$I$4001,"Correct")</f>
        <v>8</v>
      </c>
      <c r="P193">
        <f>COUNTIFS([1]Responses!$B$2:$B$4001,$A193,[1]Responses!$K$2:$K$4001,"Low",[1]Responses!$I$2:$I$4001,"Wrong")</f>
        <v>1</v>
      </c>
      <c r="Q193" s="2">
        <f>ROUND(SUMIFS([1]Responses!$J$2:$J$4001,[1]Responses!$B$2:$B$4001,$A193,[1]Responses!$K$2:$K$4001,"Low"),2)</f>
        <v>12.42</v>
      </c>
      <c r="R193" s="2">
        <f>ROUND(SUMIFS([1]Responses!$AB$2:$AB$4001,[1]Responses!$B$2:$B$4001,$A193),2)</f>
        <v>22.47</v>
      </c>
      <c r="S193" t="str">
        <f>IF(R193&gt;='[1]Reward Model'!$B$8,"Gold",IF(R193&gt;='[1]Reward Model'!$B$9,"Silver","Bronze"))</f>
        <v>Silver</v>
      </c>
      <c r="T193" s="2">
        <f>ROUND(R193/'[1]Reward Model'!$B$7*100,2)</f>
        <v>54.8</v>
      </c>
    </row>
    <row r="194" spans="1:20" x14ac:dyDescent="0.25">
      <c r="A194" t="s">
        <v>217</v>
      </c>
      <c r="B194" t="s">
        <v>120</v>
      </c>
      <c r="C194" t="s">
        <v>96</v>
      </c>
      <c r="D194">
        <f t="shared" ref="D194:D201" si="12">F194</f>
        <v>20</v>
      </c>
      <c r="E194" s="2">
        <f t="shared" ref="E194:E201" si="13">ROUND(K194+N194+Q194,2)</f>
        <v>34.07</v>
      </c>
      <c r="F194">
        <f>COUNTIFS([1]Responses!$B$2:$B$4001,$A194)</f>
        <v>20</v>
      </c>
      <c r="G194">
        <f t="shared" ref="G194:H201" si="14">I194+L194+O194</f>
        <v>15</v>
      </c>
      <c r="H194">
        <f t="shared" si="14"/>
        <v>5</v>
      </c>
      <c r="I194">
        <f>COUNTIFS([1]Responses!$B$2:$B$4001,$A194,[1]Responses!$K$2:$K$4001,"High",[1]Responses!$I$2:$I$4001,"Correct")</f>
        <v>2</v>
      </c>
      <c r="J194">
        <f>COUNTIFS([1]Responses!$B$2:$B$4001,$A194,[1]Responses!$K$2:$K$4001,"High",[1]Responses!$I$2:$I$4001,"Wrong")</f>
        <v>3</v>
      </c>
      <c r="K194" s="2">
        <f>ROUND(SUMIFS([1]Responses!$J$2:$J$4001,[1]Responses!$B$2:$B$4001,$A194,[1]Responses!$K$2:$K$4001,"High"),2)</f>
        <v>9.3699999999999992</v>
      </c>
      <c r="L194">
        <f>COUNTIFS([1]Responses!$B$2:$B$4001,$A194,[1]Responses!$K$2:$K$4001,"Medium",[1]Responses!$I$2:$I$4001,"Correct")</f>
        <v>5</v>
      </c>
      <c r="M194">
        <f>COUNTIFS([1]Responses!$B$2:$B$4001,$A194,[1]Responses!$K$2:$K$4001,"Medium",[1]Responses!$I$2:$I$4001,"Wrong")</f>
        <v>1</v>
      </c>
      <c r="N194" s="2">
        <f>ROUND(SUMIFS([1]Responses!$J$2:$J$4001,[1]Responses!$B$2:$B$4001,$A194,[1]Responses!$K$2:$K$4001,"Medium"),2)</f>
        <v>10.9</v>
      </c>
      <c r="O194">
        <f>COUNTIFS([1]Responses!$B$2:$B$4001,$A194,[1]Responses!$K$2:$K$4001,"Low",[1]Responses!$I$2:$I$4001,"Correct")</f>
        <v>8</v>
      </c>
      <c r="P194">
        <f>COUNTIFS([1]Responses!$B$2:$B$4001,$A194,[1]Responses!$K$2:$K$4001,"Low",[1]Responses!$I$2:$I$4001,"Wrong")</f>
        <v>1</v>
      </c>
      <c r="Q194" s="2">
        <f>ROUND(SUMIFS([1]Responses!$J$2:$J$4001,[1]Responses!$B$2:$B$4001,$A194,[1]Responses!$K$2:$K$4001,"Low"),2)</f>
        <v>13.8</v>
      </c>
      <c r="R194" s="2">
        <f>ROUND(SUMIFS([1]Responses!$AB$2:$AB$4001,[1]Responses!$B$2:$B$4001,$A194),2)</f>
        <v>26.14</v>
      </c>
      <c r="S194" t="str">
        <f>IF(R194&gt;='[1]Reward Model'!$B$8,"Gold",IF(R194&gt;='[1]Reward Model'!$B$9,"Silver","Bronze"))</f>
        <v>Silver</v>
      </c>
      <c r="T194" s="2">
        <f>ROUND(R194/'[1]Reward Model'!$B$7*100,2)</f>
        <v>63.76</v>
      </c>
    </row>
    <row r="195" spans="1:20" x14ac:dyDescent="0.25">
      <c r="A195" t="s">
        <v>218</v>
      </c>
      <c r="B195" t="s">
        <v>120</v>
      </c>
      <c r="C195" t="s">
        <v>96</v>
      </c>
      <c r="D195">
        <f t="shared" si="12"/>
        <v>20</v>
      </c>
      <c r="E195" s="2">
        <f t="shared" si="13"/>
        <v>32.74</v>
      </c>
      <c r="F195">
        <f>COUNTIFS([1]Responses!$B$2:$B$4001,$A195)</f>
        <v>20</v>
      </c>
      <c r="G195">
        <f t="shared" si="14"/>
        <v>12</v>
      </c>
      <c r="H195">
        <f t="shared" si="14"/>
        <v>8</v>
      </c>
      <c r="I195">
        <f>COUNTIFS([1]Responses!$B$2:$B$4001,$A195,[1]Responses!$K$2:$K$4001,"High",[1]Responses!$I$2:$I$4001,"Correct")</f>
        <v>2</v>
      </c>
      <c r="J195">
        <f>COUNTIFS([1]Responses!$B$2:$B$4001,$A195,[1]Responses!$K$2:$K$4001,"High",[1]Responses!$I$2:$I$4001,"Wrong")</f>
        <v>3</v>
      </c>
      <c r="K195" s="2">
        <f>ROUND(SUMIFS([1]Responses!$J$2:$J$4001,[1]Responses!$B$2:$B$4001,$A195,[1]Responses!$K$2:$K$4001,"High"),2)</f>
        <v>9.86</v>
      </c>
      <c r="L195">
        <f>COUNTIFS([1]Responses!$B$2:$B$4001,$A195,[1]Responses!$K$2:$K$4001,"Medium",[1]Responses!$I$2:$I$4001,"Correct")</f>
        <v>2</v>
      </c>
      <c r="M195">
        <f>COUNTIFS([1]Responses!$B$2:$B$4001,$A195,[1]Responses!$K$2:$K$4001,"Medium",[1]Responses!$I$2:$I$4001,"Wrong")</f>
        <v>4</v>
      </c>
      <c r="N195" s="2">
        <f>ROUND(SUMIFS([1]Responses!$J$2:$J$4001,[1]Responses!$B$2:$B$4001,$A195,[1]Responses!$K$2:$K$4001,"Medium"),2)</f>
        <v>10.11</v>
      </c>
      <c r="O195">
        <f>COUNTIFS([1]Responses!$B$2:$B$4001,$A195,[1]Responses!$K$2:$K$4001,"Low",[1]Responses!$I$2:$I$4001,"Correct")</f>
        <v>8</v>
      </c>
      <c r="P195">
        <f>COUNTIFS([1]Responses!$B$2:$B$4001,$A195,[1]Responses!$K$2:$K$4001,"Low",[1]Responses!$I$2:$I$4001,"Wrong")</f>
        <v>1</v>
      </c>
      <c r="Q195" s="2">
        <f>ROUND(SUMIFS([1]Responses!$J$2:$J$4001,[1]Responses!$B$2:$B$4001,$A195,[1]Responses!$K$2:$K$4001,"Low"),2)</f>
        <v>12.77</v>
      </c>
      <c r="R195" s="2">
        <f>ROUND(SUMIFS([1]Responses!$AB$2:$AB$4001,[1]Responses!$B$2:$B$4001,$A195),2)</f>
        <v>21.36</v>
      </c>
      <c r="S195" t="str">
        <f>IF(R195&gt;='[1]Reward Model'!$B$8,"Gold",IF(R195&gt;='[1]Reward Model'!$B$9,"Silver","Bronze"))</f>
        <v>Silver</v>
      </c>
      <c r="T195" s="2">
        <f>ROUND(R195/'[1]Reward Model'!$B$7*100,2)</f>
        <v>52.1</v>
      </c>
    </row>
    <row r="196" spans="1:20" x14ac:dyDescent="0.25">
      <c r="A196" t="s">
        <v>219</v>
      </c>
      <c r="B196" t="s">
        <v>120</v>
      </c>
      <c r="C196" t="s">
        <v>96</v>
      </c>
      <c r="D196">
        <f t="shared" si="12"/>
        <v>20</v>
      </c>
      <c r="E196" s="2">
        <f t="shared" si="13"/>
        <v>34.25</v>
      </c>
      <c r="F196">
        <f>COUNTIFS([1]Responses!$B$2:$B$4001,$A196)</f>
        <v>20</v>
      </c>
      <c r="G196">
        <f t="shared" si="14"/>
        <v>12</v>
      </c>
      <c r="H196">
        <f t="shared" si="14"/>
        <v>8</v>
      </c>
      <c r="I196">
        <f>COUNTIFS([1]Responses!$B$2:$B$4001,$A196,[1]Responses!$K$2:$K$4001,"High",[1]Responses!$I$2:$I$4001,"Correct")</f>
        <v>1</v>
      </c>
      <c r="J196">
        <f>COUNTIFS([1]Responses!$B$2:$B$4001,$A196,[1]Responses!$K$2:$K$4001,"High",[1]Responses!$I$2:$I$4001,"Wrong")</f>
        <v>4</v>
      </c>
      <c r="K196" s="2">
        <f>ROUND(SUMIFS([1]Responses!$J$2:$J$4001,[1]Responses!$B$2:$B$4001,$A196,[1]Responses!$K$2:$K$4001,"High"),2)</f>
        <v>8.52</v>
      </c>
      <c r="L196">
        <f>COUNTIFS([1]Responses!$B$2:$B$4001,$A196,[1]Responses!$K$2:$K$4001,"Medium",[1]Responses!$I$2:$I$4001,"Correct")</f>
        <v>3</v>
      </c>
      <c r="M196">
        <f>COUNTIFS([1]Responses!$B$2:$B$4001,$A196,[1]Responses!$K$2:$K$4001,"Medium",[1]Responses!$I$2:$I$4001,"Wrong")</f>
        <v>3</v>
      </c>
      <c r="N196" s="2">
        <f>ROUND(SUMIFS([1]Responses!$J$2:$J$4001,[1]Responses!$B$2:$B$4001,$A196,[1]Responses!$K$2:$K$4001,"Medium"),2)</f>
        <v>11.77</v>
      </c>
      <c r="O196">
        <f>COUNTIFS([1]Responses!$B$2:$B$4001,$A196,[1]Responses!$K$2:$K$4001,"Low",[1]Responses!$I$2:$I$4001,"Correct")</f>
        <v>8</v>
      </c>
      <c r="P196">
        <f>COUNTIFS([1]Responses!$B$2:$B$4001,$A196,[1]Responses!$K$2:$K$4001,"Low",[1]Responses!$I$2:$I$4001,"Wrong")</f>
        <v>1</v>
      </c>
      <c r="Q196" s="2">
        <f>ROUND(SUMIFS([1]Responses!$J$2:$J$4001,[1]Responses!$B$2:$B$4001,$A196,[1]Responses!$K$2:$K$4001,"Low"),2)</f>
        <v>13.96</v>
      </c>
      <c r="R196" s="2">
        <f>ROUND(SUMIFS([1]Responses!$AB$2:$AB$4001,[1]Responses!$B$2:$B$4001,$A196),2)</f>
        <v>20.52</v>
      </c>
      <c r="S196" t="str">
        <f>IF(R196&gt;='[1]Reward Model'!$B$8,"Gold",IF(R196&gt;='[1]Reward Model'!$B$9,"Silver","Bronze"))</f>
        <v>Silver</v>
      </c>
      <c r="T196" s="2">
        <f>ROUND(R196/'[1]Reward Model'!$B$7*100,2)</f>
        <v>50.05</v>
      </c>
    </row>
    <row r="197" spans="1:20" x14ac:dyDescent="0.25">
      <c r="A197" t="s">
        <v>220</v>
      </c>
      <c r="B197" t="s">
        <v>120</v>
      </c>
      <c r="C197" t="s">
        <v>96</v>
      </c>
      <c r="D197">
        <f t="shared" si="12"/>
        <v>20</v>
      </c>
      <c r="E197" s="2">
        <f t="shared" si="13"/>
        <v>30.65</v>
      </c>
      <c r="F197">
        <f>COUNTIFS([1]Responses!$B$2:$B$4001,$A197)</f>
        <v>20</v>
      </c>
      <c r="G197">
        <f t="shared" si="14"/>
        <v>17</v>
      </c>
      <c r="H197">
        <f t="shared" si="14"/>
        <v>3</v>
      </c>
      <c r="I197">
        <f>COUNTIFS([1]Responses!$B$2:$B$4001,$A197,[1]Responses!$K$2:$K$4001,"High",[1]Responses!$I$2:$I$4001,"Correct")</f>
        <v>4</v>
      </c>
      <c r="J197">
        <f>COUNTIFS([1]Responses!$B$2:$B$4001,$A197,[1]Responses!$K$2:$K$4001,"High",[1]Responses!$I$2:$I$4001,"Wrong")</f>
        <v>1</v>
      </c>
      <c r="K197" s="2">
        <f>ROUND(SUMIFS([1]Responses!$J$2:$J$4001,[1]Responses!$B$2:$B$4001,$A197,[1]Responses!$K$2:$K$4001,"High"),2)</f>
        <v>8.41</v>
      </c>
      <c r="L197">
        <f>COUNTIFS([1]Responses!$B$2:$B$4001,$A197,[1]Responses!$K$2:$K$4001,"Medium",[1]Responses!$I$2:$I$4001,"Correct")</f>
        <v>5</v>
      </c>
      <c r="M197">
        <f>COUNTIFS([1]Responses!$B$2:$B$4001,$A197,[1]Responses!$K$2:$K$4001,"Medium",[1]Responses!$I$2:$I$4001,"Wrong")</f>
        <v>1</v>
      </c>
      <c r="N197" s="2">
        <f>ROUND(SUMIFS([1]Responses!$J$2:$J$4001,[1]Responses!$B$2:$B$4001,$A197,[1]Responses!$K$2:$K$4001,"Medium"),2)</f>
        <v>9.69</v>
      </c>
      <c r="O197">
        <f>COUNTIFS([1]Responses!$B$2:$B$4001,$A197,[1]Responses!$K$2:$K$4001,"Low",[1]Responses!$I$2:$I$4001,"Correct")</f>
        <v>8</v>
      </c>
      <c r="P197">
        <f>COUNTIFS([1]Responses!$B$2:$B$4001,$A197,[1]Responses!$K$2:$K$4001,"Low",[1]Responses!$I$2:$I$4001,"Wrong")</f>
        <v>1</v>
      </c>
      <c r="Q197" s="2">
        <f>ROUND(SUMIFS([1]Responses!$J$2:$J$4001,[1]Responses!$B$2:$B$4001,$A197,[1]Responses!$K$2:$K$4001,"Low"),2)</f>
        <v>12.55</v>
      </c>
      <c r="R197" s="2">
        <f>ROUND(SUMIFS([1]Responses!$AB$2:$AB$4001,[1]Responses!$B$2:$B$4001,$A197),2)</f>
        <v>33.97</v>
      </c>
      <c r="S197" t="str">
        <f>IF(R197&gt;='[1]Reward Model'!$B$8,"Gold",IF(R197&gt;='[1]Reward Model'!$B$9,"Silver","Bronze"))</f>
        <v>Gold</v>
      </c>
      <c r="T197" s="2">
        <f>ROUND(R197/'[1]Reward Model'!$B$7*100,2)</f>
        <v>82.85</v>
      </c>
    </row>
    <row r="198" spans="1:20" x14ac:dyDescent="0.25">
      <c r="A198" t="s">
        <v>221</v>
      </c>
      <c r="B198" t="s">
        <v>120</v>
      </c>
      <c r="C198" t="s">
        <v>96</v>
      </c>
      <c r="D198">
        <f t="shared" si="12"/>
        <v>20</v>
      </c>
      <c r="E198" s="2">
        <f t="shared" si="13"/>
        <v>32.65</v>
      </c>
      <c r="F198">
        <f>COUNTIFS([1]Responses!$B$2:$B$4001,$A198)</f>
        <v>20</v>
      </c>
      <c r="G198">
        <f t="shared" si="14"/>
        <v>9</v>
      </c>
      <c r="H198">
        <f t="shared" si="14"/>
        <v>11</v>
      </c>
      <c r="I198">
        <f>COUNTIFS([1]Responses!$B$2:$B$4001,$A198,[1]Responses!$K$2:$K$4001,"High",[1]Responses!$I$2:$I$4001,"Correct")</f>
        <v>1</v>
      </c>
      <c r="J198">
        <f>COUNTIFS([1]Responses!$B$2:$B$4001,$A198,[1]Responses!$K$2:$K$4001,"High",[1]Responses!$I$2:$I$4001,"Wrong")</f>
        <v>4</v>
      </c>
      <c r="K198" s="2">
        <f>ROUND(SUMIFS([1]Responses!$J$2:$J$4001,[1]Responses!$B$2:$B$4001,$A198,[1]Responses!$K$2:$K$4001,"High"),2)</f>
        <v>10.26</v>
      </c>
      <c r="L198">
        <f>COUNTIFS([1]Responses!$B$2:$B$4001,$A198,[1]Responses!$K$2:$K$4001,"Medium",[1]Responses!$I$2:$I$4001,"Correct")</f>
        <v>1</v>
      </c>
      <c r="M198">
        <f>COUNTIFS([1]Responses!$B$2:$B$4001,$A198,[1]Responses!$K$2:$K$4001,"Medium",[1]Responses!$I$2:$I$4001,"Wrong")</f>
        <v>5</v>
      </c>
      <c r="N198" s="2">
        <f>ROUND(SUMIFS([1]Responses!$J$2:$J$4001,[1]Responses!$B$2:$B$4001,$A198,[1]Responses!$K$2:$K$4001,"Medium"),2)</f>
        <v>9.86</v>
      </c>
      <c r="O198">
        <f>COUNTIFS([1]Responses!$B$2:$B$4001,$A198,[1]Responses!$K$2:$K$4001,"Low",[1]Responses!$I$2:$I$4001,"Correct")</f>
        <v>7</v>
      </c>
      <c r="P198">
        <f>COUNTIFS([1]Responses!$B$2:$B$4001,$A198,[1]Responses!$K$2:$K$4001,"Low",[1]Responses!$I$2:$I$4001,"Wrong")</f>
        <v>2</v>
      </c>
      <c r="Q198" s="2">
        <f>ROUND(SUMIFS([1]Responses!$J$2:$J$4001,[1]Responses!$B$2:$B$4001,$A198,[1]Responses!$K$2:$K$4001,"Low"),2)</f>
        <v>12.53</v>
      </c>
      <c r="R198" s="2">
        <f>ROUND(SUMIFS([1]Responses!$AB$2:$AB$4001,[1]Responses!$B$2:$B$4001,$A198),2)</f>
        <v>15.31</v>
      </c>
      <c r="S198" t="str">
        <f>IF(R198&gt;='[1]Reward Model'!$B$8,"Gold",IF(R198&gt;='[1]Reward Model'!$B$9,"Silver","Bronze"))</f>
        <v>Bronze</v>
      </c>
      <c r="T198" s="2">
        <f>ROUND(R198/'[1]Reward Model'!$B$7*100,2)</f>
        <v>37.340000000000003</v>
      </c>
    </row>
    <row r="199" spans="1:20" x14ac:dyDescent="0.25">
      <c r="A199" t="s">
        <v>222</v>
      </c>
      <c r="B199" t="s">
        <v>120</v>
      </c>
      <c r="C199" t="s">
        <v>96</v>
      </c>
      <c r="D199">
        <f t="shared" si="12"/>
        <v>20</v>
      </c>
      <c r="E199" s="2">
        <f t="shared" si="13"/>
        <v>36.82</v>
      </c>
      <c r="F199">
        <f>COUNTIFS([1]Responses!$B$2:$B$4001,$A199)</f>
        <v>20</v>
      </c>
      <c r="G199">
        <f t="shared" si="14"/>
        <v>11</v>
      </c>
      <c r="H199">
        <f t="shared" si="14"/>
        <v>9</v>
      </c>
      <c r="I199">
        <f>COUNTIFS([1]Responses!$B$2:$B$4001,$A199,[1]Responses!$K$2:$K$4001,"High",[1]Responses!$I$2:$I$4001,"Correct")</f>
        <v>2</v>
      </c>
      <c r="J199">
        <f>COUNTIFS([1]Responses!$B$2:$B$4001,$A199,[1]Responses!$K$2:$K$4001,"High",[1]Responses!$I$2:$I$4001,"Wrong")</f>
        <v>3</v>
      </c>
      <c r="K199" s="2">
        <f>ROUND(SUMIFS([1]Responses!$J$2:$J$4001,[1]Responses!$B$2:$B$4001,$A199,[1]Responses!$K$2:$K$4001,"High"),2)</f>
        <v>10.39</v>
      </c>
      <c r="L199">
        <f>COUNTIFS([1]Responses!$B$2:$B$4001,$A199,[1]Responses!$K$2:$K$4001,"Medium",[1]Responses!$I$2:$I$4001,"Correct")</f>
        <v>2</v>
      </c>
      <c r="M199">
        <f>COUNTIFS([1]Responses!$B$2:$B$4001,$A199,[1]Responses!$K$2:$K$4001,"Medium",[1]Responses!$I$2:$I$4001,"Wrong")</f>
        <v>4</v>
      </c>
      <c r="N199" s="2">
        <f>ROUND(SUMIFS([1]Responses!$J$2:$J$4001,[1]Responses!$B$2:$B$4001,$A199,[1]Responses!$K$2:$K$4001,"Medium"),2)</f>
        <v>11.22</v>
      </c>
      <c r="O199">
        <f>COUNTIFS([1]Responses!$B$2:$B$4001,$A199,[1]Responses!$K$2:$K$4001,"Low",[1]Responses!$I$2:$I$4001,"Correct")</f>
        <v>7</v>
      </c>
      <c r="P199">
        <f>COUNTIFS([1]Responses!$B$2:$B$4001,$A199,[1]Responses!$K$2:$K$4001,"Low",[1]Responses!$I$2:$I$4001,"Wrong")</f>
        <v>2</v>
      </c>
      <c r="Q199" s="2">
        <f>ROUND(SUMIFS([1]Responses!$J$2:$J$4001,[1]Responses!$B$2:$B$4001,$A199,[1]Responses!$K$2:$K$4001,"Low"),2)</f>
        <v>15.21</v>
      </c>
      <c r="R199" s="2">
        <f>ROUND(SUMIFS([1]Responses!$AB$2:$AB$4001,[1]Responses!$B$2:$B$4001,$A199),2)</f>
        <v>17.47</v>
      </c>
      <c r="S199" t="str">
        <f>IF(R199&gt;='[1]Reward Model'!$B$8,"Gold",IF(R199&gt;='[1]Reward Model'!$B$9,"Silver","Bronze"))</f>
        <v>Bronze</v>
      </c>
      <c r="T199" s="2">
        <f>ROUND(R199/'[1]Reward Model'!$B$7*100,2)</f>
        <v>42.61</v>
      </c>
    </row>
    <row r="200" spans="1:20" x14ac:dyDescent="0.25">
      <c r="A200" t="s">
        <v>223</v>
      </c>
      <c r="B200" t="s">
        <v>120</v>
      </c>
      <c r="C200" t="s">
        <v>96</v>
      </c>
      <c r="D200">
        <f t="shared" si="12"/>
        <v>20</v>
      </c>
      <c r="E200" s="2">
        <f t="shared" si="13"/>
        <v>32.299999999999997</v>
      </c>
      <c r="F200">
        <f>COUNTIFS([1]Responses!$B$2:$B$4001,$A200)</f>
        <v>20</v>
      </c>
      <c r="G200">
        <f t="shared" si="14"/>
        <v>9</v>
      </c>
      <c r="H200">
        <f t="shared" si="14"/>
        <v>11</v>
      </c>
      <c r="I200">
        <f>COUNTIFS([1]Responses!$B$2:$B$4001,$A200,[1]Responses!$K$2:$K$4001,"High",[1]Responses!$I$2:$I$4001,"Correct")</f>
        <v>1</v>
      </c>
      <c r="J200">
        <f>COUNTIFS([1]Responses!$B$2:$B$4001,$A200,[1]Responses!$K$2:$K$4001,"High",[1]Responses!$I$2:$I$4001,"Wrong")</f>
        <v>4</v>
      </c>
      <c r="K200" s="2">
        <f>ROUND(SUMIFS([1]Responses!$J$2:$J$4001,[1]Responses!$B$2:$B$4001,$A200,[1]Responses!$K$2:$K$4001,"High"),2)</f>
        <v>8.6300000000000008</v>
      </c>
      <c r="L200">
        <f>COUNTIFS([1]Responses!$B$2:$B$4001,$A200,[1]Responses!$K$2:$K$4001,"Medium",[1]Responses!$I$2:$I$4001,"Correct")</f>
        <v>1</v>
      </c>
      <c r="M200">
        <f>COUNTIFS([1]Responses!$B$2:$B$4001,$A200,[1]Responses!$K$2:$K$4001,"Medium",[1]Responses!$I$2:$I$4001,"Wrong")</f>
        <v>5</v>
      </c>
      <c r="N200" s="2">
        <f>ROUND(SUMIFS([1]Responses!$J$2:$J$4001,[1]Responses!$B$2:$B$4001,$A200,[1]Responses!$K$2:$K$4001,"Medium"),2)</f>
        <v>10.23</v>
      </c>
      <c r="O200">
        <f>COUNTIFS([1]Responses!$B$2:$B$4001,$A200,[1]Responses!$K$2:$K$4001,"Low",[1]Responses!$I$2:$I$4001,"Correct")</f>
        <v>7</v>
      </c>
      <c r="P200">
        <f>COUNTIFS([1]Responses!$B$2:$B$4001,$A200,[1]Responses!$K$2:$K$4001,"Low",[1]Responses!$I$2:$I$4001,"Wrong")</f>
        <v>2</v>
      </c>
      <c r="Q200" s="2">
        <f>ROUND(SUMIFS([1]Responses!$J$2:$J$4001,[1]Responses!$B$2:$B$4001,$A200,[1]Responses!$K$2:$K$4001,"Low"),2)</f>
        <v>13.44</v>
      </c>
      <c r="R200" s="2">
        <f>ROUND(SUMIFS([1]Responses!$AB$2:$AB$4001,[1]Responses!$B$2:$B$4001,$A200),2)</f>
        <v>15.6</v>
      </c>
      <c r="S200" t="str">
        <f>IF(R200&gt;='[1]Reward Model'!$B$8,"Gold",IF(R200&gt;='[1]Reward Model'!$B$9,"Silver","Bronze"))</f>
        <v>Bronze</v>
      </c>
      <c r="T200" s="2">
        <f>ROUND(R200/'[1]Reward Model'!$B$7*100,2)</f>
        <v>38.049999999999997</v>
      </c>
    </row>
    <row r="201" spans="1:20" x14ac:dyDescent="0.25">
      <c r="A201" t="s">
        <v>224</v>
      </c>
      <c r="B201" t="s">
        <v>120</v>
      </c>
      <c r="C201" t="s">
        <v>96</v>
      </c>
      <c r="D201">
        <f t="shared" si="12"/>
        <v>20</v>
      </c>
      <c r="E201" s="2">
        <f t="shared" si="13"/>
        <v>32.229999999999997</v>
      </c>
      <c r="F201">
        <f>COUNTIFS([1]Responses!$B$2:$B$4001,$A201)</f>
        <v>20</v>
      </c>
      <c r="G201">
        <f t="shared" si="14"/>
        <v>11</v>
      </c>
      <c r="H201">
        <f t="shared" si="14"/>
        <v>9</v>
      </c>
      <c r="I201">
        <f>COUNTIFS([1]Responses!$B$2:$B$4001,$A201,[1]Responses!$K$2:$K$4001,"High",[1]Responses!$I$2:$I$4001,"Correct")</f>
        <v>1</v>
      </c>
      <c r="J201">
        <f>COUNTIFS([1]Responses!$B$2:$B$4001,$A201,[1]Responses!$K$2:$K$4001,"High",[1]Responses!$I$2:$I$4001,"Wrong")</f>
        <v>4</v>
      </c>
      <c r="K201" s="2">
        <f>ROUND(SUMIFS([1]Responses!$J$2:$J$4001,[1]Responses!$B$2:$B$4001,$A201,[1]Responses!$K$2:$K$4001,"High"),2)</f>
        <v>8.67</v>
      </c>
      <c r="L201">
        <f>COUNTIFS([1]Responses!$B$2:$B$4001,$A201,[1]Responses!$K$2:$K$4001,"Medium",[1]Responses!$I$2:$I$4001,"Correct")</f>
        <v>2</v>
      </c>
      <c r="M201">
        <f>COUNTIFS([1]Responses!$B$2:$B$4001,$A201,[1]Responses!$K$2:$K$4001,"Medium",[1]Responses!$I$2:$I$4001,"Wrong")</f>
        <v>4</v>
      </c>
      <c r="N201" s="2">
        <f>ROUND(SUMIFS([1]Responses!$J$2:$J$4001,[1]Responses!$B$2:$B$4001,$A201,[1]Responses!$K$2:$K$4001,"Medium"),2)</f>
        <v>10.4</v>
      </c>
      <c r="O201">
        <f>COUNTIFS([1]Responses!$B$2:$B$4001,$A201,[1]Responses!$K$2:$K$4001,"Low",[1]Responses!$I$2:$I$4001,"Correct")</f>
        <v>8</v>
      </c>
      <c r="P201">
        <f>COUNTIFS([1]Responses!$B$2:$B$4001,$A201,[1]Responses!$K$2:$K$4001,"Low",[1]Responses!$I$2:$I$4001,"Wrong")</f>
        <v>1</v>
      </c>
      <c r="Q201" s="2">
        <f>ROUND(SUMIFS([1]Responses!$J$2:$J$4001,[1]Responses!$B$2:$B$4001,$A201,[1]Responses!$K$2:$K$4001,"Low"),2)</f>
        <v>13.16</v>
      </c>
      <c r="R201" s="2">
        <f>ROUND(SUMIFS([1]Responses!$AB$2:$AB$4001,[1]Responses!$B$2:$B$4001,$A201),2)</f>
        <v>17.91</v>
      </c>
      <c r="S201" t="str">
        <f>IF(R201&gt;='[1]Reward Model'!$B$8,"Gold",IF(R201&gt;='[1]Reward Model'!$B$9,"Silver","Bronze"))</f>
        <v>Bronze</v>
      </c>
      <c r="T201" s="2">
        <f>ROUND(R201/'[1]Reward Model'!$B$7*100,2)</f>
        <v>43.68</v>
      </c>
    </row>
  </sheetData>
  <conditionalFormatting sqref="S2:S201">
    <cfRule type="cellIs" dxfId="2" priority="1" operator="equal">
      <formula>"Gold"</formula>
    </cfRule>
    <cfRule type="cellIs" dxfId="1" priority="2" operator="equal">
      <formula>"Silver"</formula>
    </cfRule>
    <cfRule type="cellIs" dxfId="0" priority="3" operator="equal">
      <formula>"Bronze"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 Corp</dc:creator>
  <cp:lastModifiedBy>Pana Corp</cp:lastModifiedBy>
  <dcterms:created xsi:type="dcterms:W3CDTF">2026-10-12T09:24:22Z</dcterms:created>
  <dcterms:modified xsi:type="dcterms:W3CDTF">2026-10-12T09:25:49Z</dcterms:modified>
</cp:coreProperties>
</file>